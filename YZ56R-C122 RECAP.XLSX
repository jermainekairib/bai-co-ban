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 Kim\Desktop\패턴 및 디테일\TARGET\YZ56R-C122\"/>
    </mc:Choice>
  </mc:AlternateContent>
  <bookViews>
    <workbookView xWindow="0" yWindow="0" windowWidth="17250" windowHeight="7605"/>
  </bookViews>
  <sheets>
    <sheet name="8.13 order recap CMS " sheetId="4" r:id="rId1"/>
    <sheet name="7.20 order recap B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4" l="1"/>
  <c r="K35" i="4"/>
  <c r="J35" i="4"/>
  <c r="I35" i="4"/>
  <c r="H35" i="4"/>
  <c r="G35" i="4"/>
  <c r="F35" i="4"/>
  <c r="E35" i="4"/>
  <c r="D35" i="4"/>
  <c r="C35" i="4"/>
  <c r="L35" i="4" s="1"/>
  <c r="L34" i="4"/>
  <c r="L33" i="4"/>
  <c r="L32" i="4"/>
  <c r="L31" i="4"/>
  <c r="N28" i="4"/>
  <c r="K28" i="4"/>
  <c r="J28" i="4"/>
  <c r="I28" i="4"/>
  <c r="H28" i="4"/>
  <c r="G28" i="4"/>
  <c r="F28" i="4"/>
  <c r="E28" i="4"/>
  <c r="D28" i="4"/>
  <c r="C28" i="4"/>
  <c r="L28" i="4" s="1"/>
  <c r="L27" i="4"/>
  <c r="L26" i="4"/>
  <c r="L25" i="4"/>
  <c r="L24" i="4"/>
  <c r="N23" i="4"/>
  <c r="K23" i="4"/>
  <c r="J23" i="4"/>
  <c r="I23" i="4"/>
  <c r="H23" i="4"/>
  <c r="G23" i="4"/>
  <c r="F23" i="4"/>
  <c r="E23" i="4"/>
  <c r="D23" i="4"/>
  <c r="L23" i="4" s="1"/>
  <c r="C23" i="4"/>
  <c r="L22" i="4"/>
  <c r="L21" i="4"/>
  <c r="L20" i="4"/>
  <c r="L19" i="4"/>
  <c r="N18" i="4"/>
  <c r="K18" i="4"/>
  <c r="J18" i="4"/>
  <c r="I18" i="4"/>
  <c r="H18" i="4"/>
  <c r="G18" i="4"/>
  <c r="F18" i="4"/>
  <c r="E18" i="4"/>
  <c r="D18" i="4"/>
  <c r="C18" i="4"/>
  <c r="L18" i="4" s="1"/>
  <c r="L17" i="4"/>
  <c r="L16" i="4"/>
  <c r="L15" i="4"/>
  <c r="L14" i="4"/>
  <c r="N13" i="4"/>
  <c r="K13" i="4"/>
  <c r="J13" i="4"/>
  <c r="I13" i="4"/>
  <c r="H13" i="4"/>
  <c r="G13" i="4"/>
  <c r="F13" i="4"/>
  <c r="E13" i="4"/>
  <c r="D13" i="4"/>
  <c r="C13" i="4"/>
  <c r="L13" i="4" s="1"/>
  <c r="L12" i="4"/>
  <c r="L11" i="4"/>
  <c r="L10" i="4"/>
  <c r="L9" i="4"/>
  <c r="G36" i="4" l="1"/>
  <c r="K36" i="4"/>
  <c r="D36" i="4"/>
  <c r="H36" i="4"/>
  <c r="M35" i="4"/>
  <c r="E36" i="4"/>
  <c r="I36" i="4"/>
  <c r="F36" i="4"/>
  <c r="J36" i="4"/>
  <c r="C36" i="4"/>
  <c r="N65" i="2" l="1"/>
  <c r="K65" i="2"/>
  <c r="J65" i="2"/>
  <c r="I65" i="2"/>
  <c r="H65" i="2"/>
  <c r="G65" i="2"/>
  <c r="F65" i="2"/>
  <c r="E65" i="2"/>
  <c r="D65" i="2"/>
  <c r="C65" i="2"/>
  <c r="L64" i="2"/>
  <c r="L63" i="2"/>
  <c r="L62" i="2"/>
  <c r="L61" i="2"/>
  <c r="N58" i="2"/>
  <c r="K58" i="2"/>
  <c r="J58" i="2"/>
  <c r="I58" i="2"/>
  <c r="H58" i="2"/>
  <c r="G58" i="2"/>
  <c r="F58" i="2"/>
  <c r="E58" i="2"/>
  <c r="D58" i="2"/>
  <c r="L58" i="2" s="1"/>
  <c r="C58" i="2"/>
  <c r="L57" i="2"/>
  <c r="L56" i="2"/>
  <c r="L55" i="2"/>
  <c r="L54" i="2"/>
  <c r="N53" i="2"/>
  <c r="K53" i="2"/>
  <c r="J53" i="2"/>
  <c r="I53" i="2"/>
  <c r="H53" i="2"/>
  <c r="G53" i="2"/>
  <c r="F53" i="2"/>
  <c r="E53" i="2"/>
  <c r="D53" i="2"/>
  <c r="C53" i="2"/>
  <c r="L53" i="2" s="1"/>
  <c r="L52" i="2"/>
  <c r="L51" i="2"/>
  <c r="L50" i="2"/>
  <c r="L49" i="2"/>
  <c r="N48" i="2"/>
  <c r="K48" i="2"/>
  <c r="J48" i="2"/>
  <c r="I48" i="2"/>
  <c r="H48" i="2"/>
  <c r="G48" i="2"/>
  <c r="F48" i="2"/>
  <c r="E48" i="2"/>
  <c r="D48" i="2"/>
  <c r="C48" i="2"/>
  <c r="L48" i="2" s="1"/>
  <c r="L47" i="2"/>
  <c r="L46" i="2"/>
  <c r="L45" i="2"/>
  <c r="L44" i="2"/>
  <c r="N43" i="2"/>
  <c r="K43" i="2"/>
  <c r="J43" i="2"/>
  <c r="I43" i="2"/>
  <c r="H43" i="2"/>
  <c r="G43" i="2"/>
  <c r="F43" i="2"/>
  <c r="E43" i="2"/>
  <c r="D43" i="2"/>
  <c r="C43" i="2"/>
  <c r="L43" i="2" s="1"/>
  <c r="L42" i="2"/>
  <c r="L41" i="2"/>
  <c r="L40" i="2"/>
  <c r="L39" i="2"/>
  <c r="N38" i="2"/>
  <c r="K38" i="2"/>
  <c r="J38" i="2"/>
  <c r="I38" i="2"/>
  <c r="H38" i="2"/>
  <c r="G38" i="2"/>
  <c r="F38" i="2"/>
  <c r="E38" i="2"/>
  <c r="D38" i="2"/>
  <c r="L38" i="2" s="1"/>
  <c r="C38" i="2"/>
  <c r="L37" i="2"/>
  <c r="L36" i="2"/>
  <c r="L35" i="2"/>
  <c r="L34" i="2"/>
  <c r="N33" i="2"/>
  <c r="K33" i="2"/>
  <c r="J33" i="2"/>
  <c r="I33" i="2"/>
  <c r="H33" i="2"/>
  <c r="G33" i="2"/>
  <c r="F33" i="2"/>
  <c r="E33" i="2"/>
  <c r="D33" i="2"/>
  <c r="C33" i="2"/>
  <c r="L33" i="2" s="1"/>
  <c r="L32" i="2"/>
  <c r="L31" i="2"/>
  <c r="L30" i="2"/>
  <c r="L29" i="2"/>
  <c r="N28" i="2"/>
  <c r="K28" i="2"/>
  <c r="J28" i="2"/>
  <c r="I28" i="2"/>
  <c r="H28" i="2"/>
  <c r="G28" i="2"/>
  <c r="F28" i="2"/>
  <c r="E28" i="2"/>
  <c r="D28" i="2"/>
  <c r="C28" i="2"/>
  <c r="L28" i="2" s="1"/>
  <c r="L27" i="2"/>
  <c r="L26" i="2"/>
  <c r="L25" i="2"/>
  <c r="L24" i="2"/>
  <c r="N23" i="2"/>
  <c r="K23" i="2"/>
  <c r="J23" i="2"/>
  <c r="I23" i="2"/>
  <c r="H23" i="2"/>
  <c r="G23" i="2"/>
  <c r="F23" i="2"/>
  <c r="E23" i="2"/>
  <c r="D23" i="2"/>
  <c r="C23" i="2"/>
  <c r="L23" i="2" s="1"/>
  <c r="L22" i="2"/>
  <c r="L21" i="2"/>
  <c r="L20" i="2"/>
  <c r="L19" i="2"/>
  <c r="N18" i="2"/>
  <c r="K18" i="2"/>
  <c r="J18" i="2"/>
  <c r="I18" i="2"/>
  <c r="H18" i="2"/>
  <c r="G18" i="2"/>
  <c r="F18" i="2"/>
  <c r="E18" i="2"/>
  <c r="D18" i="2"/>
  <c r="L18" i="2" s="1"/>
  <c r="C18" i="2"/>
  <c r="L17" i="2"/>
  <c r="L16" i="2"/>
  <c r="L15" i="2"/>
  <c r="L14" i="2"/>
  <c r="N13" i="2"/>
  <c r="K13" i="2"/>
  <c r="J13" i="2"/>
  <c r="I13" i="2"/>
  <c r="H13" i="2"/>
  <c r="G13" i="2"/>
  <c r="F13" i="2"/>
  <c r="E13" i="2"/>
  <c r="D13" i="2"/>
  <c r="C13" i="2"/>
  <c r="L13" i="2" s="1"/>
  <c r="L12" i="2"/>
  <c r="L11" i="2"/>
  <c r="L10" i="2"/>
  <c r="L9" i="2"/>
  <c r="L65" i="2" l="1"/>
  <c r="F66" i="2" s="1"/>
  <c r="I66" i="2" l="1"/>
  <c r="J66" i="2"/>
  <c r="E66" i="2"/>
  <c r="K66" i="2"/>
  <c r="M65" i="2"/>
  <c r="G66" i="2"/>
  <c r="H66" i="2"/>
  <c r="C66" i="2"/>
  <c r="D66" i="2"/>
</calcChain>
</file>

<file path=xl/sharedStrings.xml><?xml version="1.0" encoding="utf-8"?>
<sst xmlns="http://schemas.openxmlformats.org/spreadsheetml/2006/main" count="193" uniqueCount="66">
  <si>
    <t>Buyer    : Target</t>
  </si>
  <si>
    <t>Style No : YZ56R-C122</t>
  </si>
  <si>
    <t>Quantity : 7,263Pcs</t>
  </si>
  <si>
    <t>Amount   : U$45,438.03</t>
  </si>
  <si>
    <t>C/O      : VIETNAM</t>
  </si>
  <si>
    <t>Del.
Po.No</t>
  </si>
  <si>
    <t>Color</t>
  </si>
  <si>
    <t>Size</t>
  </si>
  <si>
    <t>TTL</t>
  </si>
  <si>
    <t>FOB</t>
  </si>
  <si>
    <t>Amount</t>
  </si>
  <si>
    <t>Retail</t>
  </si>
  <si>
    <t>Remark</t>
  </si>
  <si>
    <t>XS</t>
  </si>
  <si>
    <t>S</t>
  </si>
  <si>
    <t>M</t>
  </si>
  <si>
    <t>L</t>
  </si>
  <si>
    <t>XL</t>
  </si>
  <si>
    <t>XXL</t>
  </si>
  <si>
    <t>L HUSKY</t>
  </si>
  <si>
    <t>XL HUSKY</t>
  </si>
  <si>
    <t>XXLHSKY</t>
  </si>
  <si>
    <t>1Th</t>
  </si>
  <si>
    <t>EBONY</t>
  </si>
  <si>
    <t>21/11/17-11/22</t>
  </si>
  <si>
    <t>PO.TRANSITION</t>
  </si>
  <si>
    <t>HEATHER GRAY</t>
  </si>
  <si>
    <t>Solid Pack</t>
  </si>
  <si>
    <t>S.TTL</t>
  </si>
  <si>
    <t>2Th</t>
  </si>
  <si>
    <t>21/11/24-11/29</t>
  </si>
  <si>
    <t>PO.BASIC 1</t>
  </si>
  <si>
    <t>SLD Pack</t>
  </si>
  <si>
    <t>3Th</t>
  </si>
  <si>
    <t>21/12/01-12/06</t>
  </si>
  <si>
    <t>PO.BASIC 2</t>
  </si>
  <si>
    <t>4Th</t>
  </si>
  <si>
    <t>21/12/08-12/13</t>
  </si>
  <si>
    <t>PO.BASIC 3</t>
  </si>
  <si>
    <t>5Th</t>
  </si>
  <si>
    <t>21/12/15-12/20</t>
  </si>
  <si>
    <t>PO.BASIC 4</t>
  </si>
  <si>
    <t>6Th</t>
  </si>
  <si>
    <t>21/12/22-12/27</t>
  </si>
  <si>
    <t>PO.BASIC 5</t>
  </si>
  <si>
    <t>7Th</t>
  </si>
  <si>
    <t>21/12/29-01/03</t>
  </si>
  <si>
    <t>PO.BASIC 6</t>
  </si>
  <si>
    <t>8Th</t>
  </si>
  <si>
    <t>22/01/05-01/10</t>
  </si>
  <si>
    <t>PO.BASIC 7</t>
  </si>
  <si>
    <t>9Th</t>
  </si>
  <si>
    <t>22/01/12-01/17</t>
  </si>
  <si>
    <t>PO.BASIC 8</t>
  </si>
  <si>
    <t>10Th</t>
  </si>
  <si>
    <t>22/01/19-01/24</t>
  </si>
  <si>
    <t>PO.BASIC 9</t>
  </si>
  <si>
    <t>BB CARGO JOGGER</t>
  </si>
  <si>
    <t>Sketch</t>
  </si>
  <si>
    <t>Size Ratio</t>
  </si>
  <si>
    <t>[ Order Recap ] YZ56R-C122</t>
  </si>
  <si>
    <t>EBONY - all sizes : ETA folded pack 
HEATHER GRAY - XS~XL: Hanging pack 
HEATHER GRAY - XXL, HUSKY size: ETA folded pack</t>
  </si>
  <si>
    <t xml:space="preserve">HANGING PACK </t>
  </si>
  <si>
    <t>Quantity : 7,128Pcs</t>
  </si>
  <si>
    <t>Amount   : U$44,599.68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</si>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</sst>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]#,##0.0000"/>
    <numFmt numFmtId="165" formatCode="[$$]#,##0.00"/>
  </numFmts>
  <fonts count="9" x14ac:knownFonts="1">
    <font>
      <sz val="11"/>
      <color theme="1"/>
      <name val="Calibri"/>
      <family val="2"/>
      <scheme val="minor"/>
    </font>
    <font>
      <sz val="8"/>
      <name val="굴림체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b/>
      <sz val="24"/>
      <name val="Arial"/>
      <family val="2"/>
    </font>
    <font>
      <b/>
      <sz val="9"/>
      <color rgb="FFFF0000"/>
      <name val="Arial"/>
      <family val="2"/>
    </font>
    <font>
      <sz val="8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1" fillId="0" borderId="0" applyAlignment="0">
      <alignment vertical="top" wrapText="1"/>
      <protection locked="0"/>
    </xf>
    <xf numFmtId="0" fontId="8" fillId="0" borderId="0" applyAlignment="0">
      <alignment vertical="top" wrapText="1"/>
      <protection locked="0"/>
    </xf>
  </cellStyleXfs>
  <cellXfs count="107">
    <xf numFmtId="0" fontId="0" fillId="0" borderId="0" xfId="0"/>
    <xf numFmtId="0" fontId="3" fillId="0" borderId="0" xfId="1" applyFont="1" applyBorder="1" applyAlignment="1" applyProtection="1">
      <alignment horizontal="left" vertical="top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3" fillId="0" borderId="8" xfId="1" applyFont="1" applyBorder="1" applyAlignment="1" applyProtection="1">
      <alignment horizontal="left" vertical="center" wrapText="1"/>
    </xf>
    <xf numFmtId="0" fontId="3" fillId="0" borderId="9" xfId="1" applyFont="1" applyBorder="1" applyAlignment="1" applyProtection="1">
      <alignment horizontal="center" vertical="center"/>
    </xf>
    <xf numFmtId="3" fontId="3" fillId="0" borderId="2" xfId="1" applyNumberFormat="1" applyFont="1" applyBorder="1" applyAlignment="1" applyProtection="1">
      <alignment horizontal="right" vertical="center"/>
    </xf>
    <xf numFmtId="3" fontId="3" fillId="0" borderId="3" xfId="1" applyNumberFormat="1" applyFont="1" applyBorder="1" applyAlignment="1" applyProtection="1">
      <alignment horizontal="right" vertical="center"/>
    </xf>
    <xf numFmtId="164" fontId="3" fillId="0" borderId="9" xfId="1" applyNumberFormat="1" applyFont="1" applyBorder="1" applyAlignment="1" applyProtection="1">
      <alignment horizontal="right" vertical="center"/>
    </xf>
    <xf numFmtId="165" fontId="3" fillId="0" borderId="9" xfId="1" applyNumberFormat="1" applyFont="1" applyBorder="1" applyAlignment="1" applyProtection="1">
      <alignment horizontal="right" vertical="center"/>
    </xf>
    <xf numFmtId="0" fontId="3" fillId="0" borderId="10" xfId="1" applyFont="1" applyBorder="1" applyAlignment="1" applyProtection="1">
      <alignment horizontal="left" vertical="center" wrapText="1"/>
    </xf>
    <xf numFmtId="0" fontId="3" fillId="0" borderId="11" xfId="1" applyFont="1" applyBorder="1" applyAlignment="1" applyProtection="1">
      <alignment horizontal="center" vertical="center"/>
    </xf>
    <xf numFmtId="3" fontId="3" fillId="0" borderId="12" xfId="1" applyNumberFormat="1" applyFont="1" applyBorder="1" applyAlignment="1" applyProtection="1">
      <alignment horizontal="right" vertical="center"/>
    </xf>
    <xf numFmtId="3" fontId="3" fillId="0" borderId="13" xfId="1" applyNumberFormat="1" applyFont="1" applyBorder="1" applyAlignment="1" applyProtection="1">
      <alignment horizontal="right" vertical="center"/>
    </xf>
    <xf numFmtId="164" fontId="3" fillId="0" borderId="11" xfId="1" applyNumberFormat="1" applyFont="1" applyBorder="1" applyAlignment="1" applyProtection="1">
      <alignment horizontal="right" vertical="center"/>
    </xf>
    <xf numFmtId="165" fontId="3" fillId="0" borderId="11" xfId="1" applyNumberFormat="1" applyFont="1" applyBorder="1" applyAlignment="1" applyProtection="1">
      <alignment horizontal="right" vertical="center"/>
    </xf>
    <xf numFmtId="0" fontId="2" fillId="0" borderId="14" xfId="1" applyFont="1" applyBorder="1" applyAlignment="1" applyProtection="1">
      <alignment horizontal="left" vertical="center" wrapText="1"/>
    </xf>
    <xf numFmtId="0" fontId="4" fillId="0" borderId="1" xfId="1" applyFont="1" applyBorder="1" applyAlignment="1" applyProtection="1">
      <alignment horizontal="center" vertical="center"/>
    </xf>
    <xf numFmtId="3" fontId="4" fillId="0" borderId="15" xfId="1" applyNumberFormat="1" applyFont="1" applyBorder="1" applyAlignment="1" applyProtection="1">
      <alignment horizontal="right" vertical="center"/>
    </xf>
    <xf numFmtId="3" fontId="4" fillId="0" borderId="16" xfId="1" applyNumberFormat="1" applyFont="1" applyBorder="1" applyAlignment="1" applyProtection="1">
      <alignment horizontal="right" vertical="center"/>
    </xf>
    <xf numFmtId="165" fontId="4" fillId="0" borderId="1" xfId="1" applyNumberFormat="1" applyFont="1" applyBorder="1" applyAlignment="1" applyProtection="1">
      <alignment horizontal="center" vertical="center"/>
    </xf>
    <xf numFmtId="165" fontId="4" fillId="0" borderId="1" xfId="1" applyNumberFormat="1" applyFont="1" applyBorder="1" applyAlignment="1" applyProtection="1">
      <alignment horizontal="right" vertical="center"/>
    </xf>
    <xf numFmtId="164" fontId="4" fillId="0" borderId="1" xfId="1" applyNumberFormat="1" applyFont="1" applyBorder="1" applyAlignment="1" applyProtection="1">
      <alignment horizontal="right" vertical="center"/>
    </xf>
    <xf numFmtId="0" fontId="5" fillId="0" borderId="1" xfId="1" applyFont="1" applyBorder="1" applyAlignment="1" applyProtection="1">
      <alignment horizontal="right" vertical="center"/>
    </xf>
    <xf numFmtId="165" fontId="3" fillId="0" borderId="11" xfId="1" applyNumberFormat="1" applyFont="1" applyBorder="1" applyAlignment="1" applyProtection="1">
      <alignment horizontal="center" vertical="center"/>
    </xf>
    <xf numFmtId="0" fontId="3" fillId="0" borderId="11" xfId="1" applyFont="1" applyBorder="1" applyAlignment="1" applyProtection="1">
      <alignment horizontal="right" vertical="center"/>
    </xf>
    <xf numFmtId="0" fontId="2" fillId="0" borderId="17" xfId="1" applyFont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6" xfId="1" applyFont="1" applyFill="1" applyBorder="1" applyAlignment="1" applyProtection="1">
      <alignment horizontal="center" vertical="center"/>
    </xf>
    <xf numFmtId="0" fontId="3" fillId="0" borderId="9" xfId="1" applyFont="1" applyBorder="1" applyAlignment="1" applyProtection="1">
      <alignment horizontal="right" vertical="center"/>
    </xf>
    <xf numFmtId="0" fontId="2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center" vertical="center"/>
    </xf>
    <xf numFmtId="3" fontId="2" fillId="0" borderId="15" xfId="1" applyNumberFormat="1" applyFont="1" applyBorder="1" applyAlignment="1" applyProtection="1">
      <alignment horizontal="right" vertical="center"/>
    </xf>
    <xf numFmtId="3" fontId="2" fillId="0" borderId="16" xfId="1" applyNumberFormat="1" applyFont="1" applyBorder="1" applyAlignment="1" applyProtection="1">
      <alignment horizontal="right" vertical="center"/>
    </xf>
    <xf numFmtId="0" fontId="3" fillId="0" borderId="1" xfId="1" applyFont="1" applyBorder="1" applyAlignment="1" applyProtection="1">
      <alignment horizontal="right" vertical="center"/>
    </xf>
    <xf numFmtId="0" fontId="3" fillId="0" borderId="0" xfId="1" applyFont="1" applyBorder="1" applyAlignment="1">
      <alignment horizontal="right" vertical="center"/>
      <protection locked="0"/>
    </xf>
    <xf numFmtId="0" fontId="3" fillId="0" borderId="0" xfId="2" applyFont="1" applyBorder="1" applyAlignment="1" applyProtection="1">
      <alignment horizontal="left" vertical="top"/>
    </xf>
    <xf numFmtId="0" fontId="2" fillId="2" borderId="5" xfId="2" applyFont="1" applyFill="1" applyBorder="1" applyAlignment="1" applyProtection="1">
      <alignment horizontal="center" vertical="center" wrapText="1"/>
    </xf>
    <xf numFmtId="0" fontId="2" fillId="2" borderId="6" xfId="2" applyFont="1" applyFill="1" applyBorder="1" applyAlignment="1" applyProtection="1">
      <alignment horizontal="center" vertical="center" wrapText="1"/>
    </xf>
    <xf numFmtId="0" fontId="3" fillId="0" borderId="8" xfId="2" applyFont="1" applyBorder="1" applyAlignment="1" applyProtection="1">
      <alignment horizontal="left" vertical="center" wrapText="1"/>
    </xf>
    <xf numFmtId="0" fontId="3" fillId="0" borderId="9" xfId="2" applyFont="1" applyBorder="1" applyAlignment="1" applyProtection="1">
      <alignment horizontal="center" vertical="center"/>
    </xf>
    <xf numFmtId="3" fontId="3" fillId="0" borderId="2" xfId="2" applyNumberFormat="1" applyFont="1" applyBorder="1" applyAlignment="1" applyProtection="1">
      <alignment horizontal="right" vertical="center"/>
    </xf>
    <xf numFmtId="3" fontId="3" fillId="0" borderId="3" xfId="2" applyNumberFormat="1" applyFont="1" applyBorder="1" applyAlignment="1" applyProtection="1">
      <alignment horizontal="right" vertical="center"/>
    </xf>
    <xf numFmtId="164" fontId="3" fillId="0" borderId="9" xfId="2" applyNumberFormat="1" applyFont="1" applyBorder="1" applyAlignment="1" applyProtection="1">
      <alignment horizontal="right" vertical="center"/>
    </xf>
    <xf numFmtId="165" fontId="3" fillId="0" borderId="9" xfId="2" applyNumberFormat="1" applyFont="1" applyBorder="1" applyAlignment="1" applyProtection="1">
      <alignment horizontal="right" vertical="center"/>
    </xf>
    <xf numFmtId="0" fontId="3" fillId="0" borderId="10" xfId="2" applyFont="1" applyBorder="1" applyAlignment="1" applyProtection="1">
      <alignment horizontal="left" vertical="center" wrapText="1"/>
    </xf>
    <xf numFmtId="0" fontId="3" fillId="0" borderId="11" xfId="2" applyFont="1" applyBorder="1" applyAlignment="1" applyProtection="1">
      <alignment horizontal="center" vertical="center"/>
    </xf>
    <xf numFmtId="3" fontId="3" fillId="0" borderId="12" xfId="2" applyNumberFormat="1" applyFont="1" applyBorder="1" applyAlignment="1" applyProtection="1">
      <alignment horizontal="right" vertical="center"/>
    </xf>
    <xf numFmtId="3" fontId="3" fillId="0" borderId="13" xfId="2" applyNumberFormat="1" applyFont="1" applyBorder="1" applyAlignment="1" applyProtection="1">
      <alignment horizontal="right" vertical="center"/>
    </xf>
    <xf numFmtId="164" fontId="3" fillId="0" borderId="11" xfId="2" applyNumberFormat="1" applyFont="1" applyBorder="1" applyAlignment="1" applyProtection="1">
      <alignment horizontal="right" vertical="center"/>
    </xf>
    <xf numFmtId="165" fontId="3" fillId="0" borderId="11" xfId="2" applyNumberFormat="1" applyFont="1" applyBorder="1" applyAlignment="1" applyProtection="1">
      <alignment horizontal="right" vertical="center"/>
    </xf>
    <xf numFmtId="0" fontId="2" fillId="0" borderId="14" xfId="2" applyFont="1" applyBorder="1" applyAlignment="1" applyProtection="1">
      <alignment horizontal="left" vertical="center" wrapText="1"/>
    </xf>
    <xf numFmtId="0" fontId="4" fillId="0" borderId="1" xfId="2" applyFont="1" applyBorder="1" applyAlignment="1" applyProtection="1">
      <alignment horizontal="center" vertical="center"/>
    </xf>
    <xf numFmtId="3" fontId="4" fillId="0" borderId="15" xfId="2" applyNumberFormat="1" applyFont="1" applyBorder="1" applyAlignment="1" applyProtection="1">
      <alignment horizontal="right" vertical="center"/>
    </xf>
    <xf numFmtId="3" fontId="4" fillId="0" borderId="16" xfId="2" applyNumberFormat="1" applyFont="1" applyBorder="1" applyAlignment="1" applyProtection="1">
      <alignment horizontal="right" vertical="center"/>
    </xf>
    <xf numFmtId="165" fontId="4" fillId="0" borderId="1" xfId="2" applyNumberFormat="1" applyFont="1" applyBorder="1" applyAlignment="1" applyProtection="1">
      <alignment horizontal="center" vertical="center"/>
    </xf>
    <xf numFmtId="165" fontId="4" fillId="0" borderId="1" xfId="2" applyNumberFormat="1" applyFont="1" applyBorder="1" applyAlignment="1" applyProtection="1">
      <alignment horizontal="right" vertical="center"/>
    </xf>
    <xf numFmtId="164" fontId="4" fillId="0" borderId="1" xfId="2" applyNumberFormat="1" applyFont="1" applyBorder="1" applyAlignment="1" applyProtection="1">
      <alignment horizontal="right" vertical="center"/>
    </xf>
    <xf numFmtId="165" fontId="3" fillId="0" borderId="11" xfId="2" applyNumberFormat="1" applyFont="1" applyBorder="1" applyAlignment="1" applyProtection="1">
      <alignment horizontal="center" vertical="center"/>
    </xf>
    <xf numFmtId="0" fontId="2" fillId="0" borderId="17" xfId="2" applyFont="1" applyBorder="1" applyAlignment="1" applyProtection="1">
      <alignment horizontal="left" vertical="center"/>
    </xf>
    <xf numFmtId="0" fontId="2" fillId="2" borderId="1" xfId="2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16" xfId="2" applyFont="1" applyFill="1" applyBorder="1" applyAlignment="1" applyProtection="1">
      <alignment horizontal="center" vertical="center"/>
    </xf>
    <xf numFmtId="0" fontId="3" fillId="0" borderId="9" xfId="2" applyFont="1" applyBorder="1" applyAlignment="1" applyProtection="1">
      <alignment horizontal="right" vertical="center"/>
    </xf>
    <xf numFmtId="0" fontId="3" fillId="0" borderId="11" xfId="2" applyFont="1" applyBorder="1" applyAlignment="1" applyProtection="1">
      <alignment horizontal="right" vertical="center"/>
    </xf>
    <xf numFmtId="0" fontId="5" fillId="0" borderId="1" xfId="2" applyFont="1" applyBorder="1" applyAlignment="1" applyProtection="1">
      <alignment horizontal="right" vertical="center"/>
    </xf>
    <xf numFmtId="0" fontId="2" fillId="0" borderId="1" xfId="2" applyFont="1" applyBorder="1" applyAlignment="1" applyProtection="1">
      <alignment horizontal="left" vertical="center" wrapText="1"/>
    </xf>
    <xf numFmtId="0" fontId="2" fillId="0" borderId="1" xfId="2" applyFont="1" applyBorder="1" applyAlignment="1" applyProtection="1">
      <alignment horizontal="center" vertical="center"/>
    </xf>
    <xf numFmtId="3" fontId="2" fillId="0" borderId="15" xfId="2" applyNumberFormat="1" applyFont="1" applyBorder="1" applyAlignment="1" applyProtection="1">
      <alignment horizontal="right" vertical="center"/>
    </xf>
    <xf numFmtId="3" fontId="2" fillId="0" borderId="16" xfId="2" applyNumberFormat="1" applyFont="1" applyBorder="1" applyAlignment="1" applyProtection="1">
      <alignment horizontal="right" vertical="center"/>
    </xf>
    <xf numFmtId="0" fontId="3" fillId="0" borderId="1" xfId="2" applyFont="1" applyBorder="1" applyAlignment="1" applyProtection="1">
      <alignment horizontal="right" vertical="center"/>
    </xf>
    <xf numFmtId="0" fontId="3" fillId="0" borderId="0" xfId="2" applyFont="1" applyBorder="1" applyAlignment="1">
      <alignment horizontal="right" vertical="center"/>
      <protection locked="0"/>
    </xf>
    <xf numFmtId="0" fontId="3" fillId="0" borderId="8" xfId="2" applyFont="1" applyBorder="1" applyAlignment="1" applyProtection="1">
      <alignment horizontal="right" vertical="center"/>
    </xf>
    <xf numFmtId="0" fontId="3" fillId="0" borderId="10" xfId="2" applyFont="1" applyBorder="1" applyAlignment="1" applyProtection="1">
      <alignment horizontal="left" vertical="center" wrapText="1"/>
    </xf>
    <xf numFmtId="0" fontId="2" fillId="0" borderId="14" xfId="2" applyFont="1" applyBorder="1" applyAlignment="1" applyProtection="1">
      <alignment horizontal="left" vertical="center" wrapText="1"/>
    </xf>
    <xf numFmtId="0" fontId="2" fillId="2" borderId="1" xfId="2" applyFont="1" applyFill="1" applyBorder="1" applyAlignment="1" applyProtection="1">
      <alignment horizontal="center" vertical="center" wrapText="1"/>
    </xf>
    <xf numFmtId="0" fontId="7" fillId="0" borderId="8" xfId="2" applyFont="1" applyBorder="1" applyAlignment="1" applyProtection="1">
      <alignment horizontal="left" vertical="center" wrapText="1"/>
    </xf>
    <xf numFmtId="0" fontId="7" fillId="0" borderId="10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left" vertical="center"/>
    </xf>
    <xf numFmtId="0" fontId="2" fillId="0" borderId="8" xfId="2" applyFont="1" applyBorder="1" applyAlignment="1" applyProtection="1">
      <alignment horizontal="center" vertical="center"/>
    </xf>
    <xf numFmtId="0" fontId="2" fillId="0" borderId="10" xfId="2" applyFont="1" applyBorder="1" applyAlignment="1" applyProtection="1">
      <alignment horizontal="center" vertical="center"/>
    </xf>
    <xf numFmtId="0" fontId="2" fillId="0" borderId="14" xfId="2" applyFont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 wrapText="1"/>
    </xf>
    <xf numFmtId="0" fontId="2" fillId="2" borderId="3" xfId="2" applyFont="1" applyFill="1" applyBorder="1" applyAlignment="1" applyProtection="1">
      <alignment horizontal="center" vertical="center" wrapText="1"/>
    </xf>
    <xf numFmtId="0" fontId="2" fillId="2" borderId="6" xfId="2" applyFont="1" applyFill="1" applyBorder="1" applyAlignment="1" applyProtection="1">
      <alignment horizontal="center" vertical="center" wrapText="1"/>
    </xf>
    <xf numFmtId="0" fontId="2" fillId="2" borderId="4" xfId="2" applyFont="1" applyFill="1" applyBorder="1" applyAlignment="1" applyProtection="1">
      <alignment horizontal="center" vertical="center" wrapText="1"/>
    </xf>
    <xf numFmtId="0" fontId="2" fillId="2" borderId="7" xfId="2" applyFont="1" applyFill="1" applyBorder="1" applyAlignment="1" applyProtection="1">
      <alignment horizontal="center" vertical="center" wrapText="1"/>
    </xf>
    <xf numFmtId="0" fontId="6" fillId="0" borderId="0" xfId="2" applyFont="1" applyBorder="1" applyAlignment="1" applyProtection="1">
      <alignment horizontal="center" vertical="center" wrapText="1"/>
    </xf>
    <xf numFmtId="0" fontId="2" fillId="0" borderId="0" xfId="2" applyFont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0" borderId="0" xfId="1" applyFont="1" applyBorder="1" applyAlignment="1" applyProtection="1">
      <alignment horizontal="center" vertical="center" wrapText="1"/>
    </xf>
    <xf numFmtId="0" fontId="2" fillId="0" borderId="0" xfId="1" applyFont="1" applyBorder="1" applyAlignment="1" applyProtection="1">
      <alignment horizontal="left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3" fillId="0" borderId="8" xfId="1" applyFont="1" applyBorder="1" applyAlignment="1" applyProtection="1">
      <alignment horizontal="right" vertical="center"/>
    </xf>
    <xf numFmtId="0" fontId="3" fillId="0" borderId="10" xfId="1" applyFont="1" applyBorder="1" applyAlignment="1" applyProtection="1">
      <alignment horizontal="left" vertical="center" wrapText="1"/>
    </xf>
    <xf numFmtId="0" fontId="2" fillId="0" borderId="14" xfId="1" applyFont="1" applyBorder="1" applyAlignment="1" applyProtection="1">
      <alignment horizontal="left" vertical="center" wrapText="1"/>
    </xf>
    <xf numFmtId="0" fontId="7" fillId="0" borderId="8" xfId="1" applyFont="1" applyBorder="1" applyAlignment="1" applyProtection="1">
      <alignment horizontal="left" vertical="center" wrapText="1"/>
    </xf>
    <xf numFmtId="0" fontId="7" fillId="0" borderId="10" xfId="1" applyFont="1" applyBorder="1" applyAlignment="1" applyProtection="1">
      <alignment horizontal="left" vertical="center"/>
    </xf>
    <xf numFmtId="0" fontId="7" fillId="0" borderId="14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center" vertical="center"/>
    </xf>
    <xf numFmtId="0" fontId="2" fillId="0" borderId="10" xfId="1" applyFont="1" applyBorder="1" applyAlignment="1" applyProtection="1">
      <alignment horizontal="center" vertical="center"/>
    </xf>
    <xf numFmtId="0" fontId="2" fillId="0" borderId="14" xfId="1" applyFont="1" applyBorder="1" applyAlignment="1" applyProtection="1">
      <alignment horizontal="center" vertical="center"/>
    </xf>
  </cellXfs>
  <cellStyles count="3">
    <cellStyle name="Normal 2" xfId="1"/>
    <cellStyle name="Normal 2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SAEAERP\SKETCH\YZ56R-C122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SAEAERP\SKETCH\YZ56R-C122.JPG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30</xdr:row>
      <xdr:rowOff>38100</xdr:rowOff>
    </xdr:from>
    <xdr:to>
      <xdr:col>0</xdr:col>
      <xdr:colOff>960120</xdr:colOff>
      <xdr:row>34</xdr:row>
      <xdr:rowOff>91440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160520"/>
          <a:ext cx="92202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60</xdr:row>
      <xdr:rowOff>38100</xdr:rowOff>
    </xdr:from>
    <xdr:to>
      <xdr:col>0</xdr:col>
      <xdr:colOff>960120</xdr:colOff>
      <xdr:row>64</xdr:row>
      <xdr:rowOff>91440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046720"/>
          <a:ext cx="92202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6"/>
  <sheetViews>
    <sheetView tabSelected="1" workbookViewId="0">
      <selection activeCell="M32" sqref="M31:M32"/>
    </sheetView>
  </sheetViews>
  <sheetFormatPr defaultColWidth="8.28515625" defaultRowHeight="16.5" customHeight="1" x14ac:dyDescent="0.25"/>
  <cols>
    <col min="1" max="1" width="14.5703125" style="72" customWidth="1"/>
    <col min="2" max="2" width="20.7109375" style="72" customWidth="1"/>
    <col min="3" max="13" width="8.28515625" style="72" customWidth="1"/>
    <col min="14" max="14" width="10.28515625" style="72" customWidth="1"/>
    <col min="15" max="15" width="12.42578125" style="72" customWidth="1"/>
    <col min="16" max="16" width="34.7109375" style="72" customWidth="1"/>
    <col min="17" max="256" width="8.28515625" style="37"/>
    <col min="257" max="257" width="14.5703125" style="37" customWidth="1"/>
    <col min="258" max="258" width="20.7109375" style="37" customWidth="1"/>
    <col min="259" max="269" width="8.28515625" style="37" customWidth="1"/>
    <col min="270" max="270" width="10.28515625" style="37" customWidth="1"/>
    <col min="271" max="271" width="12.42578125" style="37" customWidth="1"/>
    <col min="272" max="272" width="20.7109375" style="37" customWidth="1"/>
    <col min="273" max="512" width="8.28515625" style="37"/>
    <col min="513" max="513" width="14.5703125" style="37" customWidth="1"/>
    <col min="514" max="514" width="20.7109375" style="37" customWidth="1"/>
    <col min="515" max="525" width="8.28515625" style="37" customWidth="1"/>
    <col min="526" max="526" width="10.28515625" style="37" customWidth="1"/>
    <col min="527" max="527" width="12.42578125" style="37" customWidth="1"/>
    <col min="528" max="528" width="20.7109375" style="37" customWidth="1"/>
    <col min="529" max="768" width="8.28515625" style="37"/>
    <col min="769" max="769" width="14.5703125" style="37" customWidth="1"/>
    <col min="770" max="770" width="20.7109375" style="37" customWidth="1"/>
    <col min="771" max="781" width="8.28515625" style="37" customWidth="1"/>
    <col min="782" max="782" width="10.28515625" style="37" customWidth="1"/>
    <col min="783" max="783" width="12.42578125" style="37" customWidth="1"/>
    <col min="784" max="784" width="20.7109375" style="37" customWidth="1"/>
    <col min="785" max="1024" width="8.28515625" style="37"/>
    <col min="1025" max="1025" width="14.5703125" style="37" customWidth="1"/>
    <col min="1026" max="1026" width="20.7109375" style="37" customWidth="1"/>
    <col min="1027" max="1037" width="8.28515625" style="37" customWidth="1"/>
    <col min="1038" max="1038" width="10.28515625" style="37" customWidth="1"/>
    <col min="1039" max="1039" width="12.42578125" style="37" customWidth="1"/>
    <col min="1040" max="1040" width="20.7109375" style="37" customWidth="1"/>
    <col min="1041" max="1280" width="8.28515625" style="37"/>
    <col min="1281" max="1281" width="14.5703125" style="37" customWidth="1"/>
    <col min="1282" max="1282" width="20.7109375" style="37" customWidth="1"/>
    <col min="1283" max="1293" width="8.28515625" style="37" customWidth="1"/>
    <col min="1294" max="1294" width="10.28515625" style="37" customWidth="1"/>
    <col min="1295" max="1295" width="12.42578125" style="37" customWidth="1"/>
    <col min="1296" max="1296" width="20.7109375" style="37" customWidth="1"/>
    <col min="1297" max="1536" width="8.28515625" style="37"/>
    <col min="1537" max="1537" width="14.5703125" style="37" customWidth="1"/>
    <col min="1538" max="1538" width="20.7109375" style="37" customWidth="1"/>
    <col min="1539" max="1549" width="8.28515625" style="37" customWidth="1"/>
    <col min="1550" max="1550" width="10.28515625" style="37" customWidth="1"/>
    <col min="1551" max="1551" width="12.42578125" style="37" customWidth="1"/>
    <col min="1552" max="1552" width="20.7109375" style="37" customWidth="1"/>
    <col min="1553" max="1792" width="8.28515625" style="37"/>
    <col min="1793" max="1793" width="14.5703125" style="37" customWidth="1"/>
    <col min="1794" max="1794" width="20.7109375" style="37" customWidth="1"/>
    <col min="1795" max="1805" width="8.28515625" style="37" customWidth="1"/>
    <col min="1806" max="1806" width="10.28515625" style="37" customWidth="1"/>
    <col min="1807" max="1807" width="12.42578125" style="37" customWidth="1"/>
    <col min="1808" max="1808" width="20.7109375" style="37" customWidth="1"/>
    <col min="1809" max="2048" width="8.28515625" style="37"/>
    <col min="2049" max="2049" width="14.5703125" style="37" customWidth="1"/>
    <col min="2050" max="2050" width="20.7109375" style="37" customWidth="1"/>
    <col min="2051" max="2061" width="8.28515625" style="37" customWidth="1"/>
    <col min="2062" max="2062" width="10.28515625" style="37" customWidth="1"/>
    <col min="2063" max="2063" width="12.42578125" style="37" customWidth="1"/>
    <col min="2064" max="2064" width="20.7109375" style="37" customWidth="1"/>
    <col min="2065" max="2304" width="8.28515625" style="37"/>
    <col min="2305" max="2305" width="14.5703125" style="37" customWidth="1"/>
    <col min="2306" max="2306" width="20.7109375" style="37" customWidth="1"/>
    <col min="2307" max="2317" width="8.28515625" style="37" customWidth="1"/>
    <col min="2318" max="2318" width="10.28515625" style="37" customWidth="1"/>
    <col min="2319" max="2319" width="12.42578125" style="37" customWidth="1"/>
    <col min="2320" max="2320" width="20.7109375" style="37" customWidth="1"/>
    <col min="2321" max="2560" width="8.28515625" style="37"/>
    <col min="2561" max="2561" width="14.5703125" style="37" customWidth="1"/>
    <col min="2562" max="2562" width="20.7109375" style="37" customWidth="1"/>
    <col min="2563" max="2573" width="8.28515625" style="37" customWidth="1"/>
    <col min="2574" max="2574" width="10.28515625" style="37" customWidth="1"/>
    <col min="2575" max="2575" width="12.42578125" style="37" customWidth="1"/>
    <col min="2576" max="2576" width="20.7109375" style="37" customWidth="1"/>
    <col min="2577" max="2816" width="8.28515625" style="37"/>
    <col min="2817" max="2817" width="14.5703125" style="37" customWidth="1"/>
    <col min="2818" max="2818" width="20.7109375" style="37" customWidth="1"/>
    <col min="2819" max="2829" width="8.28515625" style="37" customWidth="1"/>
    <col min="2830" max="2830" width="10.28515625" style="37" customWidth="1"/>
    <col min="2831" max="2831" width="12.42578125" style="37" customWidth="1"/>
    <col min="2832" max="2832" width="20.7109375" style="37" customWidth="1"/>
    <col min="2833" max="3072" width="8.28515625" style="37"/>
    <col min="3073" max="3073" width="14.5703125" style="37" customWidth="1"/>
    <col min="3074" max="3074" width="20.7109375" style="37" customWidth="1"/>
    <col min="3075" max="3085" width="8.28515625" style="37" customWidth="1"/>
    <col min="3086" max="3086" width="10.28515625" style="37" customWidth="1"/>
    <col min="3087" max="3087" width="12.42578125" style="37" customWidth="1"/>
    <col min="3088" max="3088" width="20.7109375" style="37" customWidth="1"/>
    <col min="3089" max="3328" width="8.28515625" style="37"/>
    <col min="3329" max="3329" width="14.5703125" style="37" customWidth="1"/>
    <col min="3330" max="3330" width="20.7109375" style="37" customWidth="1"/>
    <col min="3331" max="3341" width="8.28515625" style="37" customWidth="1"/>
    <col min="3342" max="3342" width="10.28515625" style="37" customWidth="1"/>
    <col min="3343" max="3343" width="12.42578125" style="37" customWidth="1"/>
    <col min="3344" max="3344" width="20.7109375" style="37" customWidth="1"/>
    <col min="3345" max="3584" width="8.28515625" style="37"/>
    <col min="3585" max="3585" width="14.5703125" style="37" customWidth="1"/>
    <col min="3586" max="3586" width="20.7109375" style="37" customWidth="1"/>
    <col min="3587" max="3597" width="8.28515625" style="37" customWidth="1"/>
    <col min="3598" max="3598" width="10.28515625" style="37" customWidth="1"/>
    <col min="3599" max="3599" width="12.42578125" style="37" customWidth="1"/>
    <col min="3600" max="3600" width="20.7109375" style="37" customWidth="1"/>
    <col min="3601" max="3840" width="8.28515625" style="37"/>
    <col min="3841" max="3841" width="14.5703125" style="37" customWidth="1"/>
    <col min="3842" max="3842" width="20.7109375" style="37" customWidth="1"/>
    <col min="3843" max="3853" width="8.28515625" style="37" customWidth="1"/>
    <col min="3854" max="3854" width="10.28515625" style="37" customWidth="1"/>
    <col min="3855" max="3855" width="12.42578125" style="37" customWidth="1"/>
    <col min="3856" max="3856" width="20.7109375" style="37" customWidth="1"/>
    <col min="3857" max="4096" width="8.28515625" style="37"/>
    <col min="4097" max="4097" width="14.5703125" style="37" customWidth="1"/>
    <col min="4098" max="4098" width="20.7109375" style="37" customWidth="1"/>
    <col min="4099" max="4109" width="8.28515625" style="37" customWidth="1"/>
    <col min="4110" max="4110" width="10.28515625" style="37" customWidth="1"/>
    <col min="4111" max="4111" width="12.42578125" style="37" customWidth="1"/>
    <col min="4112" max="4112" width="20.7109375" style="37" customWidth="1"/>
    <col min="4113" max="4352" width="8.28515625" style="37"/>
    <col min="4353" max="4353" width="14.5703125" style="37" customWidth="1"/>
    <col min="4354" max="4354" width="20.7109375" style="37" customWidth="1"/>
    <col min="4355" max="4365" width="8.28515625" style="37" customWidth="1"/>
    <col min="4366" max="4366" width="10.28515625" style="37" customWidth="1"/>
    <col min="4367" max="4367" width="12.42578125" style="37" customWidth="1"/>
    <col min="4368" max="4368" width="20.7109375" style="37" customWidth="1"/>
    <col min="4369" max="4608" width="8.28515625" style="37"/>
    <col min="4609" max="4609" width="14.5703125" style="37" customWidth="1"/>
    <col min="4610" max="4610" width="20.7109375" style="37" customWidth="1"/>
    <col min="4611" max="4621" width="8.28515625" style="37" customWidth="1"/>
    <col min="4622" max="4622" width="10.28515625" style="37" customWidth="1"/>
    <col min="4623" max="4623" width="12.42578125" style="37" customWidth="1"/>
    <col min="4624" max="4624" width="20.7109375" style="37" customWidth="1"/>
    <col min="4625" max="4864" width="8.28515625" style="37"/>
    <col min="4865" max="4865" width="14.5703125" style="37" customWidth="1"/>
    <col min="4866" max="4866" width="20.7109375" style="37" customWidth="1"/>
    <col min="4867" max="4877" width="8.28515625" style="37" customWidth="1"/>
    <col min="4878" max="4878" width="10.28515625" style="37" customWidth="1"/>
    <col min="4879" max="4879" width="12.42578125" style="37" customWidth="1"/>
    <col min="4880" max="4880" width="20.7109375" style="37" customWidth="1"/>
    <col min="4881" max="5120" width="8.28515625" style="37"/>
    <col min="5121" max="5121" width="14.5703125" style="37" customWidth="1"/>
    <col min="5122" max="5122" width="20.7109375" style="37" customWidth="1"/>
    <col min="5123" max="5133" width="8.28515625" style="37" customWidth="1"/>
    <col min="5134" max="5134" width="10.28515625" style="37" customWidth="1"/>
    <col min="5135" max="5135" width="12.42578125" style="37" customWidth="1"/>
    <col min="5136" max="5136" width="20.7109375" style="37" customWidth="1"/>
    <col min="5137" max="5376" width="8.28515625" style="37"/>
    <col min="5377" max="5377" width="14.5703125" style="37" customWidth="1"/>
    <col min="5378" max="5378" width="20.7109375" style="37" customWidth="1"/>
    <col min="5379" max="5389" width="8.28515625" style="37" customWidth="1"/>
    <col min="5390" max="5390" width="10.28515625" style="37" customWidth="1"/>
    <col min="5391" max="5391" width="12.42578125" style="37" customWidth="1"/>
    <col min="5392" max="5392" width="20.7109375" style="37" customWidth="1"/>
    <col min="5393" max="5632" width="8.28515625" style="37"/>
    <col min="5633" max="5633" width="14.5703125" style="37" customWidth="1"/>
    <col min="5634" max="5634" width="20.7109375" style="37" customWidth="1"/>
    <col min="5635" max="5645" width="8.28515625" style="37" customWidth="1"/>
    <col min="5646" max="5646" width="10.28515625" style="37" customWidth="1"/>
    <col min="5647" max="5647" width="12.42578125" style="37" customWidth="1"/>
    <col min="5648" max="5648" width="20.7109375" style="37" customWidth="1"/>
    <col min="5649" max="5888" width="8.28515625" style="37"/>
    <col min="5889" max="5889" width="14.5703125" style="37" customWidth="1"/>
    <col min="5890" max="5890" width="20.7109375" style="37" customWidth="1"/>
    <col min="5891" max="5901" width="8.28515625" style="37" customWidth="1"/>
    <col min="5902" max="5902" width="10.28515625" style="37" customWidth="1"/>
    <col min="5903" max="5903" width="12.42578125" style="37" customWidth="1"/>
    <col min="5904" max="5904" width="20.7109375" style="37" customWidth="1"/>
    <col min="5905" max="6144" width="8.28515625" style="37"/>
    <col min="6145" max="6145" width="14.5703125" style="37" customWidth="1"/>
    <col min="6146" max="6146" width="20.7109375" style="37" customWidth="1"/>
    <col min="6147" max="6157" width="8.28515625" style="37" customWidth="1"/>
    <col min="6158" max="6158" width="10.28515625" style="37" customWidth="1"/>
    <col min="6159" max="6159" width="12.42578125" style="37" customWidth="1"/>
    <col min="6160" max="6160" width="20.7109375" style="37" customWidth="1"/>
    <col min="6161" max="6400" width="8.28515625" style="37"/>
    <col min="6401" max="6401" width="14.5703125" style="37" customWidth="1"/>
    <col min="6402" max="6402" width="20.7109375" style="37" customWidth="1"/>
    <col min="6403" max="6413" width="8.28515625" style="37" customWidth="1"/>
    <col min="6414" max="6414" width="10.28515625" style="37" customWidth="1"/>
    <col min="6415" max="6415" width="12.42578125" style="37" customWidth="1"/>
    <col min="6416" max="6416" width="20.7109375" style="37" customWidth="1"/>
    <col min="6417" max="6656" width="8.28515625" style="37"/>
    <col min="6657" max="6657" width="14.5703125" style="37" customWidth="1"/>
    <col min="6658" max="6658" width="20.7109375" style="37" customWidth="1"/>
    <col min="6659" max="6669" width="8.28515625" style="37" customWidth="1"/>
    <col min="6670" max="6670" width="10.28515625" style="37" customWidth="1"/>
    <col min="6671" max="6671" width="12.42578125" style="37" customWidth="1"/>
    <col min="6672" max="6672" width="20.7109375" style="37" customWidth="1"/>
    <col min="6673" max="6912" width="8.28515625" style="37"/>
    <col min="6913" max="6913" width="14.5703125" style="37" customWidth="1"/>
    <col min="6914" max="6914" width="20.7109375" style="37" customWidth="1"/>
    <col min="6915" max="6925" width="8.28515625" style="37" customWidth="1"/>
    <col min="6926" max="6926" width="10.28515625" style="37" customWidth="1"/>
    <col min="6927" max="6927" width="12.42578125" style="37" customWidth="1"/>
    <col min="6928" max="6928" width="20.7109375" style="37" customWidth="1"/>
    <col min="6929" max="7168" width="8.28515625" style="37"/>
    <col min="7169" max="7169" width="14.5703125" style="37" customWidth="1"/>
    <col min="7170" max="7170" width="20.7109375" style="37" customWidth="1"/>
    <col min="7171" max="7181" width="8.28515625" style="37" customWidth="1"/>
    <col min="7182" max="7182" width="10.28515625" style="37" customWidth="1"/>
    <col min="7183" max="7183" width="12.42578125" style="37" customWidth="1"/>
    <col min="7184" max="7184" width="20.7109375" style="37" customWidth="1"/>
    <col min="7185" max="7424" width="8.28515625" style="37"/>
    <col min="7425" max="7425" width="14.5703125" style="37" customWidth="1"/>
    <col min="7426" max="7426" width="20.7109375" style="37" customWidth="1"/>
    <col min="7427" max="7437" width="8.28515625" style="37" customWidth="1"/>
    <col min="7438" max="7438" width="10.28515625" style="37" customWidth="1"/>
    <col min="7439" max="7439" width="12.42578125" style="37" customWidth="1"/>
    <col min="7440" max="7440" width="20.7109375" style="37" customWidth="1"/>
    <col min="7441" max="7680" width="8.28515625" style="37"/>
    <col min="7681" max="7681" width="14.5703125" style="37" customWidth="1"/>
    <col min="7682" max="7682" width="20.7109375" style="37" customWidth="1"/>
    <col min="7683" max="7693" width="8.28515625" style="37" customWidth="1"/>
    <col min="7694" max="7694" width="10.28515625" style="37" customWidth="1"/>
    <col min="7695" max="7695" width="12.42578125" style="37" customWidth="1"/>
    <col min="7696" max="7696" width="20.7109375" style="37" customWidth="1"/>
    <col min="7697" max="7936" width="8.28515625" style="37"/>
    <col min="7937" max="7937" width="14.5703125" style="37" customWidth="1"/>
    <col min="7938" max="7938" width="20.7109375" style="37" customWidth="1"/>
    <col min="7939" max="7949" width="8.28515625" style="37" customWidth="1"/>
    <col min="7950" max="7950" width="10.28515625" style="37" customWidth="1"/>
    <col min="7951" max="7951" width="12.42578125" style="37" customWidth="1"/>
    <col min="7952" max="7952" width="20.7109375" style="37" customWidth="1"/>
    <col min="7953" max="8192" width="8.28515625" style="37"/>
    <col min="8193" max="8193" width="14.5703125" style="37" customWidth="1"/>
    <col min="8194" max="8194" width="20.7109375" style="37" customWidth="1"/>
    <col min="8195" max="8205" width="8.28515625" style="37" customWidth="1"/>
    <col min="8206" max="8206" width="10.28515625" style="37" customWidth="1"/>
    <col min="8207" max="8207" width="12.42578125" style="37" customWidth="1"/>
    <col min="8208" max="8208" width="20.7109375" style="37" customWidth="1"/>
    <col min="8209" max="8448" width="8.28515625" style="37"/>
    <col min="8449" max="8449" width="14.5703125" style="37" customWidth="1"/>
    <col min="8450" max="8450" width="20.7109375" style="37" customWidth="1"/>
    <col min="8451" max="8461" width="8.28515625" style="37" customWidth="1"/>
    <col min="8462" max="8462" width="10.28515625" style="37" customWidth="1"/>
    <col min="8463" max="8463" width="12.42578125" style="37" customWidth="1"/>
    <col min="8464" max="8464" width="20.7109375" style="37" customWidth="1"/>
    <col min="8465" max="8704" width="8.28515625" style="37"/>
    <col min="8705" max="8705" width="14.5703125" style="37" customWidth="1"/>
    <col min="8706" max="8706" width="20.7109375" style="37" customWidth="1"/>
    <col min="8707" max="8717" width="8.28515625" style="37" customWidth="1"/>
    <col min="8718" max="8718" width="10.28515625" style="37" customWidth="1"/>
    <col min="8719" max="8719" width="12.42578125" style="37" customWidth="1"/>
    <col min="8720" max="8720" width="20.7109375" style="37" customWidth="1"/>
    <col min="8721" max="8960" width="8.28515625" style="37"/>
    <col min="8961" max="8961" width="14.5703125" style="37" customWidth="1"/>
    <col min="8962" max="8962" width="20.7109375" style="37" customWidth="1"/>
    <col min="8963" max="8973" width="8.28515625" style="37" customWidth="1"/>
    <col min="8974" max="8974" width="10.28515625" style="37" customWidth="1"/>
    <col min="8975" max="8975" width="12.42578125" style="37" customWidth="1"/>
    <col min="8976" max="8976" width="20.7109375" style="37" customWidth="1"/>
    <col min="8977" max="9216" width="8.28515625" style="37"/>
    <col min="9217" max="9217" width="14.5703125" style="37" customWidth="1"/>
    <col min="9218" max="9218" width="20.7109375" style="37" customWidth="1"/>
    <col min="9219" max="9229" width="8.28515625" style="37" customWidth="1"/>
    <col min="9230" max="9230" width="10.28515625" style="37" customWidth="1"/>
    <col min="9231" max="9231" width="12.42578125" style="37" customWidth="1"/>
    <col min="9232" max="9232" width="20.7109375" style="37" customWidth="1"/>
    <col min="9233" max="9472" width="8.28515625" style="37"/>
    <col min="9473" max="9473" width="14.5703125" style="37" customWidth="1"/>
    <col min="9474" max="9474" width="20.7109375" style="37" customWidth="1"/>
    <col min="9475" max="9485" width="8.28515625" style="37" customWidth="1"/>
    <col min="9486" max="9486" width="10.28515625" style="37" customWidth="1"/>
    <col min="9487" max="9487" width="12.42578125" style="37" customWidth="1"/>
    <col min="9488" max="9488" width="20.7109375" style="37" customWidth="1"/>
    <col min="9489" max="9728" width="8.28515625" style="37"/>
    <col min="9729" max="9729" width="14.5703125" style="37" customWidth="1"/>
    <col min="9730" max="9730" width="20.7109375" style="37" customWidth="1"/>
    <col min="9731" max="9741" width="8.28515625" style="37" customWidth="1"/>
    <col min="9742" max="9742" width="10.28515625" style="37" customWidth="1"/>
    <col min="9743" max="9743" width="12.42578125" style="37" customWidth="1"/>
    <col min="9744" max="9744" width="20.7109375" style="37" customWidth="1"/>
    <col min="9745" max="9984" width="8.28515625" style="37"/>
    <col min="9985" max="9985" width="14.5703125" style="37" customWidth="1"/>
    <col min="9986" max="9986" width="20.7109375" style="37" customWidth="1"/>
    <col min="9987" max="9997" width="8.28515625" style="37" customWidth="1"/>
    <col min="9998" max="9998" width="10.28515625" style="37" customWidth="1"/>
    <col min="9999" max="9999" width="12.42578125" style="37" customWidth="1"/>
    <col min="10000" max="10000" width="20.7109375" style="37" customWidth="1"/>
    <col min="10001" max="10240" width="8.28515625" style="37"/>
    <col min="10241" max="10241" width="14.5703125" style="37" customWidth="1"/>
    <col min="10242" max="10242" width="20.7109375" style="37" customWidth="1"/>
    <col min="10243" max="10253" width="8.28515625" style="37" customWidth="1"/>
    <col min="10254" max="10254" width="10.28515625" style="37" customWidth="1"/>
    <col min="10255" max="10255" width="12.42578125" style="37" customWidth="1"/>
    <col min="10256" max="10256" width="20.7109375" style="37" customWidth="1"/>
    <col min="10257" max="10496" width="8.28515625" style="37"/>
    <col min="10497" max="10497" width="14.5703125" style="37" customWidth="1"/>
    <col min="10498" max="10498" width="20.7109375" style="37" customWidth="1"/>
    <col min="10499" max="10509" width="8.28515625" style="37" customWidth="1"/>
    <col min="10510" max="10510" width="10.28515625" style="37" customWidth="1"/>
    <col min="10511" max="10511" width="12.42578125" style="37" customWidth="1"/>
    <col min="10512" max="10512" width="20.7109375" style="37" customWidth="1"/>
    <col min="10513" max="10752" width="8.28515625" style="37"/>
    <col min="10753" max="10753" width="14.5703125" style="37" customWidth="1"/>
    <col min="10754" max="10754" width="20.7109375" style="37" customWidth="1"/>
    <col min="10755" max="10765" width="8.28515625" style="37" customWidth="1"/>
    <col min="10766" max="10766" width="10.28515625" style="37" customWidth="1"/>
    <col min="10767" max="10767" width="12.42578125" style="37" customWidth="1"/>
    <col min="10768" max="10768" width="20.7109375" style="37" customWidth="1"/>
    <col min="10769" max="11008" width="8.28515625" style="37"/>
    <col min="11009" max="11009" width="14.5703125" style="37" customWidth="1"/>
    <col min="11010" max="11010" width="20.7109375" style="37" customWidth="1"/>
    <col min="11011" max="11021" width="8.28515625" style="37" customWidth="1"/>
    <col min="11022" max="11022" width="10.28515625" style="37" customWidth="1"/>
    <col min="11023" max="11023" width="12.42578125" style="37" customWidth="1"/>
    <col min="11024" max="11024" width="20.7109375" style="37" customWidth="1"/>
    <col min="11025" max="11264" width="8.28515625" style="37"/>
    <col min="11265" max="11265" width="14.5703125" style="37" customWidth="1"/>
    <col min="11266" max="11266" width="20.7109375" style="37" customWidth="1"/>
    <col min="11267" max="11277" width="8.28515625" style="37" customWidth="1"/>
    <col min="11278" max="11278" width="10.28515625" style="37" customWidth="1"/>
    <col min="11279" max="11279" width="12.42578125" style="37" customWidth="1"/>
    <col min="11280" max="11280" width="20.7109375" style="37" customWidth="1"/>
    <col min="11281" max="11520" width="8.28515625" style="37"/>
    <col min="11521" max="11521" width="14.5703125" style="37" customWidth="1"/>
    <col min="11522" max="11522" width="20.7109375" style="37" customWidth="1"/>
    <col min="11523" max="11533" width="8.28515625" style="37" customWidth="1"/>
    <col min="11534" max="11534" width="10.28515625" style="37" customWidth="1"/>
    <col min="11535" max="11535" width="12.42578125" style="37" customWidth="1"/>
    <col min="11536" max="11536" width="20.7109375" style="37" customWidth="1"/>
    <col min="11537" max="11776" width="8.28515625" style="37"/>
    <col min="11777" max="11777" width="14.5703125" style="37" customWidth="1"/>
    <col min="11778" max="11778" width="20.7109375" style="37" customWidth="1"/>
    <col min="11779" max="11789" width="8.28515625" style="37" customWidth="1"/>
    <col min="11790" max="11790" width="10.28515625" style="37" customWidth="1"/>
    <col min="11791" max="11791" width="12.42578125" style="37" customWidth="1"/>
    <col min="11792" max="11792" width="20.7109375" style="37" customWidth="1"/>
    <col min="11793" max="12032" width="8.28515625" style="37"/>
    <col min="12033" max="12033" width="14.5703125" style="37" customWidth="1"/>
    <col min="12034" max="12034" width="20.7109375" style="37" customWidth="1"/>
    <col min="12035" max="12045" width="8.28515625" style="37" customWidth="1"/>
    <col min="12046" max="12046" width="10.28515625" style="37" customWidth="1"/>
    <col min="12047" max="12047" width="12.42578125" style="37" customWidth="1"/>
    <col min="12048" max="12048" width="20.7109375" style="37" customWidth="1"/>
    <col min="12049" max="12288" width="8.28515625" style="37"/>
    <col min="12289" max="12289" width="14.5703125" style="37" customWidth="1"/>
    <col min="12290" max="12290" width="20.7109375" style="37" customWidth="1"/>
    <col min="12291" max="12301" width="8.28515625" style="37" customWidth="1"/>
    <col min="12302" max="12302" width="10.28515625" style="37" customWidth="1"/>
    <col min="12303" max="12303" width="12.42578125" style="37" customWidth="1"/>
    <col min="12304" max="12304" width="20.7109375" style="37" customWidth="1"/>
    <col min="12305" max="12544" width="8.28515625" style="37"/>
    <col min="12545" max="12545" width="14.5703125" style="37" customWidth="1"/>
    <col min="12546" max="12546" width="20.7109375" style="37" customWidth="1"/>
    <col min="12547" max="12557" width="8.28515625" style="37" customWidth="1"/>
    <col min="12558" max="12558" width="10.28515625" style="37" customWidth="1"/>
    <col min="12559" max="12559" width="12.42578125" style="37" customWidth="1"/>
    <col min="12560" max="12560" width="20.7109375" style="37" customWidth="1"/>
    <col min="12561" max="12800" width="8.28515625" style="37"/>
    <col min="12801" max="12801" width="14.5703125" style="37" customWidth="1"/>
    <col min="12802" max="12802" width="20.7109375" style="37" customWidth="1"/>
    <col min="12803" max="12813" width="8.28515625" style="37" customWidth="1"/>
    <col min="12814" max="12814" width="10.28515625" style="37" customWidth="1"/>
    <col min="12815" max="12815" width="12.42578125" style="37" customWidth="1"/>
    <col min="12816" max="12816" width="20.7109375" style="37" customWidth="1"/>
    <col min="12817" max="13056" width="8.28515625" style="37"/>
    <col min="13057" max="13057" width="14.5703125" style="37" customWidth="1"/>
    <col min="13058" max="13058" width="20.7109375" style="37" customWidth="1"/>
    <col min="13059" max="13069" width="8.28515625" style="37" customWidth="1"/>
    <col min="13070" max="13070" width="10.28515625" style="37" customWidth="1"/>
    <col min="13071" max="13071" width="12.42578125" style="37" customWidth="1"/>
    <col min="13072" max="13072" width="20.7109375" style="37" customWidth="1"/>
    <col min="13073" max="13312" width="8.28515625" style="37"/>
    <col min="13313" max="13313" width="14.5703125" style="37" customWidth="1"/>
    <col min="13314" max="13314" width="20.7109375" style="37" customWidth="1"/>
    <col min="13315" max="13325" width="8.28515625" style="37" customWidth="1"/>
    <col min="13326" max="13326" width="10.28515625" style="37" customWidth="1"/>
    <col min="13327" max="13327" width="12.42578125" style="37" customWidth="1"/>
    <col min="13328" max="13328" width="20.7109375" style="37" customWidth="1"/>
    <col min="13329" max="13568" width="8.28515625" style="37"/>
    <col min="13569" max="13569" width="14.5703125" style="37" customWidth="1"/>
    <col min="13570" max="13570" width="20.7109375" style="37" customWidth="1"/>
    <col min="13571" max="13581" width="8.28515625" style="37" customWidth="1"/>
    <col min="13582" max="13582" width="10.28515625" style="37" customWidth="1"/>
    <col min="13583" max="13583" width="12.42578125" style="37" customWidth="1"/>
    <col min="13584" max="13584" width="20.7109375" style="37" customWidth="1"/>
    <col min="13585" max="13824" width="8.28515625" style="37"/>
    <col min="13825" max="13825" width="14.5703125" style="37" customWidth="1"/>
    <col min="13826" max="13826" width="20.7109375" style="37" customWidth="1"/>
    <col min="13827" max="13837" width="8.28515625" style="37" customWidth="1"/>
    <col min="13838" max="13838" width="10.28515625" style="37" customWidth="1"/>
    <col min="13839" max="13839" width="12.42578125" style="37" customWidth="1"/>
    <col min="13840" max="13840" width="20.7109375" style="37" customWidth="1"/>
    <col min="13841" max="14080" width="8.28515625" style="37"/>
    <col min="14081" max="14081" width="14.5703125" style="37" customWidth="1"/>
    <col min="14082" max="14082" width="20.7109375" style="37" customWidth="1"/>
    <col min="14083" max="14093" width="8.28515625" style="37" customWidth="1"/>
    <col min="14094" max="14094" width="10.28515625" style="37" customWidth="1"/>
    <col min="14095" max="14095" width="12.42578125" style="37" customWidth="1"/>
    <col min="14096" max="14096" width="20.7109375" style="37" customWidth="1"/>
    <col min="14097" max="14336" width="8.28515625" style="37"/>
    <col min="14337" max="14337" width="14.5703125" style="37" customWidth="1"/>
    <col min="14338" max="14338" width="20.7109375" style="37" customWidth="1"/>
    <col min="14339" max="14349" width="8.28515625" style="37" customWidth="1"/>
    <col min="14350" max="14350" width="10.28515625" style="37" customWidth="1"/>
    <col min="14351" max="14351" width="12.42578125" style="37" customWidth="1"/>
    <col min="14352" max="14352" width="20.7109375" style="37" customWidth="1"/>
    <col min="14353" max="14592" width="8.28515625" style="37"/>
    <col min="14593" max="14593" width="14.5703125" style="37" customWidth="1"/>
    <col min="14594" max="14594" width="20.7109375" style="37" customWidth="1"/>
    <col min="14595" max="14605" width="8.28515625" style="37" customWidth="1"/>
    <col min="14606" max="14606" width="10.28515625" style="37" customWidth="1"/>
    <col min="14607" max="14607" width="12.42578125" style="37" customWidth="1"/>
    <col min="14608" max="14608" width="20.7109375" style="37" customWidth="1"/>
    <col min="14609" max="14848" width="8.28515625" style="37"/>
    <col min="14849" max="14849" width="14.5703125" style="37" customWidth="1"/>
    <col min="14850" max="14850" width="20.7109375" style="37" customWidth="1"/>
    <col min="14851" max="14861" width="8.28515625" style="37" customWidth="1"/>
    <col min="14862" max="14862" width="10.28515625" style="37" customWidth="1"/>
    <col min="14863" max="14863" width="12.42578125" style="37" customWidth="1"/>
    <col min="14864" max="14864" width="20.7109375" style="37" customWidth="1"/>
    <col min="14865" max="15104" width="8.28515625" style="37"/>
    <col min="15105" max="15105" width="14.5703125" style="37" customWidth="1"/>
    <col min="15106" max="15106" width="20.7109375" style="37" customWidth="1"/>
    <col min="15107" max="15117" width="8.28515625" style="37" customWidth="1"/>
    <col min="15118" max="15118" width="10.28515625" style="37" customWidth="1"/>
    <col min="15119" max="15119" width="12.42578125" style="37" customWidth="1"/>
    <col min="15120" max="15120" width="20.7109375" style="37" customWidth="1"/>
    <col min="15121" max="15360" width="8.28515625" style="37"/>
    <col min="15361" max="15361" width="14.5703125" style="37" customWidth="1"/>
    <col min="15362" max="15362" width="20.7109375" style="37" customWidth="1"/>
    <col min="15363" max="15373" width="8.28515625" style="37" customWidth="1"/>
    <col min="15374" max="15374" width="10.28515625" style="37" customWidth="1"/>
    <col min="15375" max="15375" width="12.42578125" style="37" customWidth="1"/>
    <col min="15376" max="15376" width="20.7109375" style="37" customWidth="1"/>
    <col min="15377" max="15616" width="8.28515625" style="37"/>
    <col min="15617" max="15617" width="14.5703125" style="37" customWidth="1"/>
    <col min="15618" max="15618" width="20.7109375" style="37" customWidth="1"/>
    <col min="15619" max="15629" width="8.28515625" style="37" customWidth="1"/>
    <col min="15630" max="15630" width="10.28515625" style="37" customWidth="1"/>
    <col min="15631" max="15631" width="12.42578125" style="37" customWidth="1"/>
    <col min="15632" max="15632" width="20.7109375" style="37" customWidth="1"/>
    <col min="15633" max="15872" width="8.28515625" style="37"/>
    <col min="15873" max="15873" width="14.5703125" style="37" customWidth="1"/>
    <col min="15874" max="15874" width="20.7109375" style="37" customWidth="1"/>
    <col min="15875" max="15885" width="8.28515625" style="37" customWidth="1"/>
    <col min="15886" max="15886" width="10.28515625" style="37" customWidth="1"/>
    <col min="15887" max="15887" width="12.42578125" style="37" customWidth="1"/>
    <col min="15888" max="15888" width="20.7109375" style="37" customWidth="1"/>
    <col min="15889" max="16128" width="8.28515625" style="37"/>
    <col min="16129" max="16129" width="14.5703125" style="37" customWidth="1"/>
    <col min="16130" max="16130" width="20.7109375" style="37" customWidth="1"/>
    <col min="16131" max="16141" width="8.28515625" style="37" customWidth="1"/>
    <col min="16142" max="16142" width="10.28515625" style="37" customWidth="1"/>
    <col min="16143" max="16143" width="12.42578125" style="37" customWidth="1"/>
    <col min="16144" max="16144" width="20.7109375" style="37" customWidth="1"/>
    <col min="16145" max="16384" width="8.28515625" style="37"/>
  </cols>
  <sheetData>
    <row r="1" spans="1:16" ht="26.25" customHeight="1" x14ac:dyDescent="0.25">
      <c r="A1" s="88" t="s">
        <v>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ht="11.25" customHeight="1" x14ac:dyDescent="0.25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ht="11.25" customHeight="1" x14ac:dyDescent="0.25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6" ht="11.25" customHeight="1" x14ac:dyDescent="0.25">
      <c r="A4" s="89" t="s">
        <v>63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6" ht="11.25" customHeight="1" x14ac:dyDescent="0.25">
      <c r="A5" s="89" t="s">
        <v>64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</row>
    <row r="6" spans="1:16" ht="11.25" customHeight="1" thickBot="1" x14ac:dyDescent="0.3">
      <c r="A6" s="89" t="s">
        <v>4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</row>
    <row r="7" spans="1:16" ht="10.5" customHeight="1" thickBot="1" x14ac:dyDescent="0.3">
      <c r="A7" s="76" t="s">
        <v>5</v>
      </c>
      <c r="B7" s="76" t="s">
        <v>6</v>
      </c>
      <c r="C7" s="83" t="s">
        <v>7</v>
      </c>
      <c r="D7" s="84"/>
      <c r="E7" s="84"/>
      <c r="F7" s="84"/>
      <c r="G7" s="84"/>
      <c r="H7" s="84"/>
      <c r="I7" s="84"/>
      <c r="J7" s="84"/>
      <c r="K7" s="84"/>
      <c r="L7" s="84" t="s">
        <v>8</v>
      </c>
      <c r="M7" s="86" t="s">
        <v>9</v>
      </c>
      <c r="N7" s="76" t="s">
        <v>10</v>
      </c>
      <c r="O7" s="76" t="s">
        <v>11</v>
      </c>
      <c r="P7" s="76" t="s">
        <v>12</v>
      </c>
    </row>
    <row r="8" spans="1:16" ht="10.5" customHeight="1" thickBot="1" x14ac:dyDescent="0.3">
      <c r="A8" s="76"/>
      <c r="B8" s="76"/>
      <c r="C8" s="38" t="s">
        <v>13</v>
      </c>
      <c r="D8" s="39" t="s">
        <v>14</v>
      </c>
      <c r="E8" s="39" t="s">
        <v>15</v>
      </c>
      <c r="F8" s="39" t="s">
        <v>16</v>
      </c>
      <c r="G8" s="39" t="s">
        <v>17</v>
      </c>
      <c r="H8" s="39" t="s">
        <v>18</v>
      </c>
      <c r="I8" s="39" t="s">
        <v>19</v>
      </c>
      <c r="J8" s="39" t="s">
        <v>20</v>
      </c>
      <c r="K8" s="39" t="s">
        <v>21</v>
      </c>
      <c r="L8" s="85"/>
      <c r="M8" s="87"/>
      <c r="N8" s="76"/>
      <c r="O8" s="76"/>
      <c r="P8" s="76"/>
    </row>
    <row r="9" spans="1:16" ht="10.5" customHeight="1" x14ac:dyDescent="0.25">
      <c r="A9" s="40" t="s">
        <v>22</v>
      </c>
      <c r="B9" s="41" t="s">
        <v>23</v>
      </c>
      <c r="C9" s="42">
        <v>126</v>
      </c>
      <c r="D9" s="43">
        <v>270</v>
      </c>
      <c r="E9" s="43">
        <v>279</v>
      </c>
      <c r="F9" s="43">
        <v>180</v>
      </c>
      <c r="G9" s="43">
        <v>90</v>
      </c>
      <c r="H9" s="43">
        <v>36</v>
      </c>
      <c r="I9" s="43"/>
      <c r="J9" s="43"/>
      <c r="K9" s="43"/>
      <c r="L9" s="43">
        <f>SUM($C$9:$K$9)</f>
        <v>981</v>
      </c>
      <c r="M9" s="44">
        <v>6.21</v>
      </c>
      <c r="N9" s="45">
        <v>6092.01</v>
      </c>
      <c r="O9" s="44">
        <v>14.99</v>
      </c>
      <c r="P9" s="77" t="s">
        <v>61</v>
      </c>
    </row>
    <row r="10" spans="1:16" ht="10.5" customHeight="1" x14ac:dyDescent="0.25">
      <c r="A10" s="46" t="s">
        <v>24</v>
      </c>
      <c r="B10" s="47" t="s">
        <v>23</v>
      </c>
      <c r="C10" s="48"/>
      <c r="D10" s="49"/>
      <c r="E10" s="49"/>
      <c r="F10" s="49"/>
      <c r="G10" s="49"/>
      <c r="H10" s="49"/>
      <c r="I10" s="49">
        <v>36</v>
      </c>
      <c r="J10" s="49">
        <v>36</v>
      </c>
      <c r="K10" s="49">
        <v>36</v>
      </c>
      <c r="L10" s="49">
        <f>SUM($C$10:$K$10)</f>
        <v>108</v>
      </c>
      <c r="M10" s="50">
        <v>7.45</v>
      </c>
      <c r="N10" s="51">
        <v>804.6</v>
      </c>
      <c r="O10" s="50">
        <v>14.99</v>
      </c>
      <c r="P10" s="78"/>
    </row>
    <row r="11" spans="1:16" ht="10.5" customHeight="1" x14ac:dyDescent="0.25">
      <c r="A11" s="46" t="s">
        <v>25</v>
      </c>
      <c r="B11" s="47" t="s">
        <v>26</v>
      </c>
      <c r="C11" s="48">
        <v>9</v>
      </c>
      <c r="D11" s="49">
        <v>9</v>
      </c>
      <c r="E11" s="49">
        <v>9</v>
      </c>
      <c r="F11" s="49">
        <v>9</v>
      </c>
      <c r="G11" s="49">
        <v>9</v>
      </c>
      <c r="H11" s="49">
        <v>54</v>
      </c>
      <c r="I11" s="49"/>
      <c r="J11" s="49"/>
      <c r="K11" s="49"/>
      <c r="L11" s="49">
        <f>SUM($C$11:$K$11)</f>
        <v>99</v>
      </c>
      <c r="M11" s="50">
        <v>6.21</v>
      </c>
      <c r="N11" s="51">
        <v>614.79</v>
      </c>
      <c r="O11" s="50">
        <v>14.99</v>
      </c>
      <c r="P11" s="78"/>
    </row>
    <row r="12" spans="1:16" ht="10.5" customHeight="1" thickBot="1" x14ac:dyDescent="0.3">
      <c r="A12" s="46" t="s">
        <v>27</v>
      </c>
      <c r="B12" s="47" t="s">
        <v>26</v>
      </c>
      <c r="C12" s="48"/>
      <c r="D12" s="49"/>
      <c r="E12" s="49"/>
      <c r="F12" s="49"/>
      <c r="G12" s="49"/>
      <c r="H12" s="49"/>
      <c r="I12" s="49">
        <v>54</v>
      </c>
      <c r="J12" s="49">
        <v>54</v>
      </c>
      <c r="K12" s="49">
        <v>54</v>
      </c>
      <c r="L12" s="49">
        <f>SUM($C$12:$K$12)</f>
        <v>162</v>
      </c>
      <c r="M12" s="50">
        <v>7.45</v>
      </c>
      <c r="N12" s="51">
        <v>1206.9000000000001</v>
      </c>
      <c r="O12" s="50">
        <v>14.99</v>
      </c>
      <c r="P12" s="78"/>
    </row>
    <row r="13" spans="1:16" ht="10.5" customHeight="1" thickBot="1" x14ac:dyDescent="0.3">
      <c r="A13" s="52"/>
      <c r="B13" s="53" t="s">
        <v>28</v>
      </c>
      <c r="C13" s="54">
        <f>$C$9+$C$10+$C$11+$C$12</f>
        <v>135</v>
      </c>
      <c r="D13" s="55">
        <f>$D$9+$D$10+$D$11+$D$12</f>
        <v>279</v>
      </c>
      <c r="E13" s="55">
        <f>$E$9+$E$10+$E$11+$E$12</f>
        <v>288</v>
      </c>
      <c r="F13" s="55">
        <f>$F$9+$F$10+$F$11+$F$12</f>
        <v>189</v>
      </c>
      <c r="G13" s="55">
        <f>$G$9+$G$10+$G$11+$G$12</f>
        <v>99</v>
      </c>
      <c r="H13" s="55">
        <f>$H$9+$H$10+$H$11+$H$12</f>
        <v>90</v>
      </c>
      <c r="I13" s="55">
        <f>$I$9+$I$10+$I$11+$I$12</f>
        <v>90</v>
      </c>
      <c r="J13" s="55">
        <f>$J$9+$J$10+$J$11+$J$12</f>
        <v>90</v>
      </c>
      <c r="K13" s="55">
        <f>$K$9+$K$10+$K$11+$K$12</f>
        <v>90</v>
      </c>
      <c r="L13" s="55">
        <f>SUM($C$13:$K$13)</f>
        <v>1350</v>
      </c>
      <c r="M13" s="56"/>
      <c r="N13" s="57">
        <f>SUM(N$9:N$12)</f>
        <v>8718.3000000000011</v>
      </c>
      <c r="O13" s="58"/>
      <c r="P13" s="79"/>
    </row>
    <row r="14" spans="1:16" ht="10.5" customHeight="1" x14ac:dyDescent="0.25">
      <c r="A14" s="40" t="s">
        <v>29</v>
      </c>
      <c r="B14" s="41" t="s">
        <v>26</v>
      </c>
      <c r="C14" s="42">
        <v>261</v>
      </c>
      <c r="D14" s="43">
        <v>477</v>
      </c>
      <c r="E14" s="43">
        <v>513</v>
      </c>
      <c r="F14" s="43">
        <v>414</v>
      </c>
      <c r="G14" s="43">
        <v>261</v>
      </c>
      <c r="H14" s="43"/>
      <c r="I14" s="43"/>
      <c r="J14" s="43"/>
      <c r="K14" s="43"/>
      <c r="L14" s="43">
        <f>SUM($C$14:$K$14)</f>
        <v>1926</v>
      </c>
      <c r="M14" s="44">
        <v>6.21</v>
      </c>
      <c r="N14" s="45">
        <v>11960.46</v>
      </c>
      <c r="O14" s="44">
        <v>14.99</v>
      </c>
      <c r="P14" s="80" t="s">
        <v>62</v>
      </c>
    </row>
    <row r="15" spans="1:16" ht="10.5" customHeight="1" x14ac:dyDescent="0.25">
      <c r="A15" s="46" t="s">
        <v>30</v>
      </c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9">
        <f>SUM($C$15:$K$15)</f>
        <v>0</v>
      </c>
      <c r="M15" s="59"/>
      <c r="N15" s="51"/>
      <c r="O15" s="50"/>
      <c r="P15" s="81"/>
    </row>
    <row r="16" spans="1:16" ht="10.5" customHeight="1" x14ac:dyDescent="0.25">
      <c r="A16" s="46" t="s">
        <v>31</v>
      </c>
      <c r="B16" s="47"/>
      <c r="C16" s="48"/>
      <c r="D16" s="49"/>
      <c r="E16" s="49"/>
      <c r="F16" s="49"/>
      <c r="G16" s="49"/>
      <c r="H16" s="49"/>
      <c r="I16" s="49"/>
      <c r="J16" s="49"/>
      <c r="K16" s="49"/>
      <c r="L16" s="49">
        <f>SUM($C$16:$K$16)</f>
        <v>0</v>
      </c>
      <c r="M16" s="59"/>
      <c r="N16" s="51"/>
      <c r="O16" s="50"/>
      <c r="P16" s="81"/>
    </row>
    <row r="17" spans="1:18" ht="10.5" customHeight="1" thickBot="1" x14ac:dyDescent="0.3">
      <c r="A17" s="46" t="s">
        <v>32</v>
      </c>
      <c r="B17" s="47"/>
      <c r="C17" s="48"/>
      <c r="D17" s="49"/>
      <c r="E17" s="49"/>
      <c r="F17" s="49"/>
      <c r="G17" s="49"/>
      <c r="H17" s="49"/>
      <c r="I17" s="49"/>
      <c r="J17" s="49"/>
      <c r="K17" s="49"/>
      <c r="L17" s="49">
        <f>SUM($C$17:$K$17)</f>
        <v>0</v>
      </c>
      <c r="M17" s="59"/>
      <c r="N17" s="51"/>
      <c r="O17" s="50"/>
      <c r="P17" s="81"/>
    </row>
    <row r="18" spans="1:18" ht="10.5" customHeight="1" thickBot="1" x14ac:dyDescent="0.3">
      <c r="A18" s="52"/>
      <c r="B18" s="53" t="s">
        <v>28</v>
      </c>
      <c r="C18" s="54">
        <f>$C$14+$C$15+$C$16+$C$17</f>
        <v>261</v>
      </c>
      <c r="D18" s="55">
        <f>$D$14+$D$15+$D$16+$D$17</f>
        <v>477</v>
      </c>
      <c r="E18" s="55">
        <f>$E$14+$E$15+$E$16+$E$17</f>
        <v>513</v>
      </c>
      <c r="F18" s="55">
        <f>$F$14+$F$15+$F$16+$F$17</f>
        <v>414</v>
      </c>
      <c r="G18" s="55">
        <f>$G$14+$G$15+$G$16+$G$17</f>
        <v>261</v>
      </c>
      <c r="H18" s="55">
        <f>$H$14+$H$15+$H$16+$H$17</f>
        <v>0</v>
      </c>
      <c r="I18" s="55">
        <f>$I$14+$I$15+$I$16+$I$17</f>
        <v>0</v>
      </c>
      <c r="J18" s="55">
        <f>$J$14+$J$15+$J$16+$J$17</f>
        <v>0</v>
      </c>
      <c r="K18" s="55">
        <f>$K$14+$K$15+$K$16+$K$17</f>
        <v>0</v>
      </c>
      <c r="L18" s="55">
        <f>SUM($C$18:$K$18)</f>
        <v>1926</v>
      </c>
      <c r="M18" s="56"/>
      <c r="N18" s="57">
        <f>SUM(N$14:N$17)</f>
        <v>11960.46</v>
      </c>
      <c r="O18" s="58"/>
      <c r="P18" s="82"/>
    </row>
    <row r="19" spans="1:18" ht="10.5" customHeight="1" x14ac:dyDescent="0.25">
      <c r="A19" s="40" t="s">
        <v>33</v>
      </c>
      <c r="B19" s="41" t="s">
        <v>26</v>
      </c>
      <c r="C19" s="42">
        <v>261</v>
      </c>
      <c r="D19" s="43">
        <v>477</v>
      </c>
      <c r="E19" s="43">
        <v>513</v>
      </c>
      <c r="F19" s="43">
        <v>414</v>
      </c>
      <c r="G19" s="43">
        <v>261</v>
      </c>
      <c r="H19" s="43"/>
      <c r="I19" s="43"/>
      <c r="J19" s="43"/>
      <c r="K19" s="43"/>
      <c r="L19" s="43">
        <f>SUM($C$19:$K$19)</f>
        <v>1926</v>
      </c>
      <c r="M19" s="44">
        <v>6.21</v>
      </c>
      <c r="N19" s="45">
        <v>11960.46</v>
      </c>
      <c r="O19" s="44">
        <v>14.99</v>
      </c>
      <c r="P19" s="80" t="s">
        <v>62</v>
      </c>
    </row>
    <row r="20" spans="1:18" ht="10.5" customHeight="1" x14ac:dyDescent="0.25">
      <c r="A20" s="46" t="s">
        <v>34</v>
      </c>
      <c r="B20" s="47"/>
      <c r="C20" s="48"/>
      <c r="D20" s="49"/>
      <c r="E20" s="49"/>
      <c r="F20" s="49"/>
      <c r="G20" s="49"/>
      <c r="H20" s="49"/>
      <c r="I20" s="49"/>
      <c r="J20" s="49"/>
      <c r="K20" s="49"/>
      <c r="L20" s="49">
        <f>SUM($C$20:$K$20)</f>
        <v>0</v>
      </c>
      <c r="M20" s="59"/>
      <c r="N20" s="51"/>
      <c r="O20" s="50"/>
      <c r="P20" s="81"/>
    </row>
    <row r="21" spans="1:18" ht="10.5" customHeight="1" x14ac:dyDescent="0.25">
      <c r="A21" s="46" t="s">
        <v>35</v>
      </c>
      <c r="B21" s="47"/>
      <c r="C21" s="48"/>
      <c r="D21" s="49"/>
      <c r="E21" s="49"/>
      <c r="F21" s="49"/>
      <c r="G21" s="49"/>
      <c r="H21" s="49"/>
      <c r="I21" s="49"/>
      <c r="J21" s="49"/>
      <c r="K21" s="49"/>
      <c r="L21" s="49">
        <f>SUM($C$21:$K$21)</f>
        <v>0</v>
      </c>
      <c r="M21" s="59"/>
      <c r="N21" s="51"/>
      <c r="O21" s="50"/>
      <c r="P21" s="81"/>
      <c r="R21" s="37" t="s">
        <v>65</v>
      </c>
    </row>
    <row r="22" spans="1:18" ht="10.5" customHeight="1" thickBot="1" x14ac:dyDescent="0.3">
      <c r="A22" s="46" t="s">
        <v>32</v>
      </c>
      <c r="B22" s="47"/>
      <c r="C22" s="48"/>
      <c r="D22" s="49"/>
      <c r="E22" s="49"/>
      <c r="F22" s="49"/>
      <c r="G22" s="49"/>
      <c r="H22" s="49"/>
      <c r="I22" s="49"/>
      <c r="J22" s="49"/>
      <c r="K22" s="49"/>
      <c r="L22" s="49">
        <f>SUM($C$22:$K$22)</f>
        <v>0</v>
      </c>
      <c r="M22" s="59"/>
      <c r="N22" s="51"/>
      <c r="O22" s="50"/>
      <c r="P22" s="81"/>
    </row>
    <row r="23" spans="1:18" ht="10.5" customHeight="1" thickBot="1" x14ac:dyDescent="0.3">
      <c r="A23" s="52"/>
      <c r="B23" s="53" t="s">
        <v>28</v>
      </c>
      <c r="C23" s="54">
        <f>$C$19+$C$20+$C$21+$C$22</f>
        <v>261</v>
      </c>
      <c r="D23" s="55">
        <f>$D$19+$D$20+$D$21+$D$22</f>
        <v>477</v>
      </c>
      <c r="E23" s="55">
        <f>$E$19+$E$20+$E$21+$E$22</f>
        <v>513</v>
      </c>
      <c r="F23" s="55">
        <f>$F$19+$F$20+$F$21+$F$22</f>
        <v>414</v>
      </c>
      <c r="G23" s="55">
        <f>$G$19+$G$20+$G$21+$G$22</f>
        <v>261</v>
      </c>
      <c r="H23" s="55">
        <f>$H$19+$H$20+$H$21+$H$22</f>
        <v>0</v>
      </c>
      <c r="I23" s="55">
        <f>$I$19+$I$20+$I$21+$I$22</f>
        <v>0</v>
      </c>
      <c r="J23" s="55">
        <f>$J$19+$J$20+$J$21+$J$22</f>
        <v>0</v>
      </c>
      <c r="K23" s="55">
        <f>$K$19+$K$20+$K$21+$K$22</f>
        <v>0</v>
      </c>
      <c r="L23" s="55">
        <f>SUM($C$23:$K$23)</f>
        <v>1926</v>
      </c>
      <c r="M23" s="56"/>
      <c r="N23" s="57">
        <f>SUM(N$19:N$22)</f>
        <v>11960.46</v>
      </c>
      <c r="O23" s="58"/>
      <c r="P23" s="82"/>
    </row>
    <row r="24" spans="1:18" ht="10.5" customHeight="1" x14ac:dyDescent="0.25">
      <c r="A24" s="40" t="s">
        <v>36</v>
      </c>
      <c r="B24" s="41" t="s">
        <v>26</v>
      </c>
      <c r="C24" s="42">
        <v>261</v>
      </c>
      <c r="D24" s="43">
        <v>477</v>
      </c>
      <c r="E24" s="43">
        <v>513</v>
      </c>
      <c r="F24" s="43">
        <v>414</v>
      </c>
      <c r="G24" s="43">
        <v>261</v>
      </c>
      <c r="H24" s="43"/>
      <c r="I24" s="43"/>
      <c r="J24" s="43"/>
      <c r="K24" s="43"/>
      <c r="L24" s="43">
        <f>SUM($C$24:$K$24)</f>
        <v>1926</v>
      </c>
      <c r="M24" s="44">
        <v>6.21</v>
      </c>
      <c r="N24" s="45">
        <v>11960.46</v>
      </c>
      <c r="O24" s="44">
        <v>14.99</v>
      </c>
      <c r="P24" s="80" t="s">
        <v>62</v>
      </c>
    </row>
    <row r="25" spans="1:18" ht="10.5" customHeight="1" x14ac:dyDescent="0.25">
      <c r="A25" s="46" t="s">
        <v>37</v>
      </c>
      <c r="B25" s="47"/>
      <c r="C25" s="48"/>
      <c r="D25" s="49"/>
      <c r="E25" s="49"/>
      <c r="F25" s="49"/>
      <c r="G25" s="49"/>
      <c r="H25" s="49"/>
      <c r="I25" s="49"/>
      <c r="J25" s="49"/>
      <c r="K25" s="49"/>
      <c r="L25" s="49">
        <f>SUM($C$25:$K$25)</f>
        <v>0</v>
      </c>
      <c r="M25" s="59"/>
      <c r="N25" s="51"/>
      <c r="O25" s="50"/>
      <c r="P25" s="81"/>
    </row>
    <row r="26" spans="1:18" ht="10.5" customHeight="1" x14ac:dyDescent="0.25">
      <c r="A26" s="46" t="s">
        <v>38</v>
      </c>
      <c r="B26" s="47"/>
      <c r="C26" s="48"/>
      <c r="D26" s="49"/>
      <c r="E26" s="49"/>
      <c r="F26" s="49"/>
      <c r="G26" s="49"/>
      <c r="H26" s="49"/>
      <c r="I26" s="49"/>
      <c r="J26" s="49"/>
      <c r="K26" s="49"/>
      <c r="L26" s="49">
        <f>SUM($C$26:$K$26)</f>
        <v>0</v>
      </c>
      <c r="M26" s="59"/>
      <c r="N26" s="51"/>
      <c r="O26" s="50"/>
      <c r="P26" s="81"/>
    </row>
    <row r="27" spans="1:18" ht="10.5" customHeight="1" thickBot="1" x14ac:dyDescent="0.3">
      <c r="A27" s="46" t="s">
        <v>32</v>
      </c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>
        <f>SUM($C$27:$K$27)</f>
        <v>0</v>
      </c>
      <c r="M27" s="59"/>
      <c r="N27" s="51"/>
      <c r="O27" s="50"/>
      <c r="P27" s="81"/>
    </row>
    <row r="28" spans="1:18" ht="10.5" customHeight="1" thickBot="1" x14ac:dyDescent="0.3">
      <c r="A28" s="52"/>
      <c r="B28" s="53" t="s">
        <v>28</v>
      </c>
      <c r="C28" s="54">
        <f>$C$24+$C$25+$C$26+$C$27</f>
        <v>261</v>
      </c>
      <c r="D28" s="55">
        <f>$D$24+$D$25+$D$26+$D$27</f>
        <v>477</v>
      </c>
      <c r="E28" s="55">
        <f>$E$24+$E$25+$E$26+$E$27</f>
        <v>513</v>
      </c>
      <c r="F28" s="55">
        <f>$F$24+$F$25+$F$26+$F$27</f>
        <v>414</v>
      </c>
      <c r="G28" s="55">
        <f>$G$24+$G$25+$G$26+$G$27</f>
        <v>261</v>
      </c>
      <c r="H28" s="55">
        <f>$H$24+$H$25+$H$26+$H$27</f>
        <v>0</v>
      </c>
      <c r="I28" s="55">
        <f>$I$24+$I$25+$I$26+$I$27</f>
        <v>0</v>
      </c>
      <c r="J28" s="55">
        <f>$J$24+$J$25+$J$26+$J$27</f>
        <v>0</v>
      </c>
      <c r="K28" s="55">
        <f>$K$24+$K$25+$K$26+$K$27</f>
        <v>0</v>
      </c>
      <c r="L28" s="55">
        <f>SUM($C$28:$K$28)</f>
        <v>1926</v>
      </c>
      <c r="M28" s="56"/>
      <c r="N28" s="57">
        <f>SUM(N$24:N$27)</f>
        <v>11960.46</v>
      </c>
      <c r="O28" s="58"/>
      <c r="P28" s="82"/>
    </row>
    <row r="29" spans="1:18" ht="10.5" customHeight="1" thickBot="1" x14ac:dyDescent="0.3">
      <c r="A29" s="60" t="s">
        <v>57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spans="1:18" ht="10.5" customHeight="1" thickBot="1" x14ac:dyDescent="0.3">
      <c r="A30" s="61" t="s">
        <v>58</v>
      </c>
      <c r="B30" s="62" t="s">
        <v>6</v>
      </c>
      <c r="C30" s="62" t="s">
        <v>13</v>
      </c>
      <c r="D30" s="63" t="s">
        <v>14</v>
      </c>
      <c r="E30" s="63" t="s">
        <v>15</v>
      </c>
      <c r="F30" s="63" t="s">
        <v>16</v>
      </c>
      <c r="G30" s="63" t="s">
        <v>17</v>
      </c>
      <c r="H30" s="63" t="s">
        <v>18</v>
      </c>
      <c r="I30" s="63" t="s">
        <v>19</v>
      </c>
      <c r="J30" s="63" t="s">
        <v>20</v>
      </c>
      <c r="K30" s="63" t="s">
        <v>21</v>
      </c>
      <c r="L30" s="63" t="s">
        <v>8</v>
      </c>
      <c r="M30" s="63" t="s">
        <v>9</v>
      </c>
      <c r="N30" s="62" t="s">
        <v>10</v>
      </c>
      <c r="O30" s="62" t="s">
        <v>11</v>
      </c>
      <c r="P30" s="62" t="s">
        <v>12</v>
      </c>
    </row>
    <row r="31" spans="1:18" ht="10.5" customHeight="1" x14ac:dyDescent="0.25">
      <c r="A31" s="73"/>
      <c r="B31" s="41" t="s">
        <v>23</v>
      </c>
      <c r="C31" s="42">
        <v>126</v>
      </c>
      <c r="D31" s="43">
        <v>270</v>
      </c>
      <c r="E31" s="43">
        <v>279</v>
      </c>
      <c r="F31" s="43">
        <v>180</v>
      </c>
      <c r="G31" s="43">
        <v>90</v>
      </c>
      <c r="H31" s="43">
        <v>36</v>
      </c>
      <c r="I31" s="43">
        <v>36</v>
      </c>
      <c r="J31" s="43">
        <v>36</v>
      </c>
      <c r="K31" s="43">
        <v>36</v>
      </c>
      <c r="L31" s="43">
        <f>SUM($C$31:$K$31)</f>
        <v>1089</v>
      </c>
      <c r="M31" s="44">
        <v>6.3330000000000002</v>
      </c>
      <c r="N31" s="45">
        <v>6896.61</v>
      </c>
      <c r="O31" s="44"/>
      <c r="P31" s="64"/>
    </row>
    <row r="32" spans="1:18" ht="10.5" customHeight="1" x14ac:dyDescent="0.25">
      <c r="A32" s="74"/>
      <c r="B32" s="47" t="s">
        <v>26</v>
      </c>
      <c r="C32" s="48">
        <v>792</v>
      </c>
      <c r="D32" s="49">
        <v>1440</v>
      </c>
      <c r="E32" s="49">
        <v>1548</v>
      </c>
      <c r="F32" s="49">
        <v>1251</v>
      </c>
      <c r="G32" s="49">
        <v>792</v>
      </c>
      <c r="H32" s="49">
        <v>54</v>
      </c>
      <c r="I32" s="49">
        <v>54</v>
      </c>
      <c r="J32" s="49">
        <v>54</v>
      </c>
      <c r="K32" s="49">
        <v>54</v>
      </c>
      <c r="L32" s="49">
        <f>SUM($C$32:$K$32)</f>
        <v>6039</v>
      </c>
      <c r="M32" s="50">
        <v>6.2432999999999996</v>
      </c>
      <c r="N32" s="51">
        <v>37703.07</v>
      </c>
      <c r="O32" s="50"/>
      <c r="P32" s="65"/>
    </row>
    <row r="33" spans="1:16" ht="10.5" customHeight="1" x14ac:dyDescent="0.25">
      <c r="A33" s="74"/>
      <c r="B33" s="47"/>
      <c r="C33" s="48"/>
      <c r="D33" s="49"/>
      <c r="E33" s="49"/>
      <c r="F33" s="49"/>
      <c r="G33" s="49"/>
      <c r="H33" s="49"/>
      <c r="I33" s="49"/>
      <c r="J33" s="49"/>
      <c r="K33" s="49"/>
      <c r="L33" s="49">
        <f>SUM($C$33:$K$33)</f>
        <v>0</v>
      </c>
      <c r="M33" s="50"/>
      <c r="N33" s="51"/>
      <c r="O33" s="50"/>
      <c r="P33" s="65"/>
    </row>
    <row r="34" spans="1:16" ht="10.5" customHeight="1" thickBot="1" x14ac:dyDescent="0.3">
      <c r="A34" s="74"/>
      <c r="B34" s="47"/>
      <c r="C34" s="48"/>
      <c r="D34" s="49"/>
      <c r="E34" s="49"/>
      <c r="F34" s="49"/>
      <c r="G34" s="49"/>
      <c r="H34" s="49"/>
      <c r="I34" s="49"/>
      <c r="J34" s="49"/>
      <c r="K34" s="49"/>
      <c r="L34" s="49">
        <f>SUM($C$34:$K$34)</f>
        <v>0</v>
      </c>
      <c r="M34" s="50"/>
      <c r="N34" s="51"/>
      <c r="O34" s="50"/>
      <c r="P34" s="65"/>
    </row>
    <row r="35" spans="1:16" ht="10.5" customHeight="1" thickBot="1" x14ac:dyDescent="0.3">
      <c r="A35" s="75"/>
      <c r="B35" s="53" t="s">
        <v>28</v>
      </c>
      <c r="C35" s="54">
        <f>$C$31+$C$32+$C$33+$C$34</f>
        <v>918</v>
      </c>
      <c r="D35" s="55">
        <f>$D$31+$D$32+$D$33+$D$34</f>
        <v>1710</v>
      </c>
      <c r="E35" s="55">
        <f>$E$31+$E$32+$E$33+$E$34</f>
        <v>1827</v>
      </c>
      <c r="F35" s="55">
        <f>$F$31+$F$32+$F$33+$F$34</f>
        <v>1431</v>
      </c>
      <c r="G35" s="55">
        <f>$G$31+$G$32+$G$33+$G$34</f>
        <v>882</v>
      </c>
      <c r="H35" s="55">
        <f>$H$31+$H$32+$H$33+$H$34</f>
        <v>90</v>
      </c>
      <c r="I35" s="55">
        <f>$I$31+$I$32+$I$33+$I$34</f>
        <v>90</v>
      </c>
      <c r="J35" s="55">
        <f>$J$31+$J$32+$J$33+$J$34</f>
        <v>90</v>
      </c>
      <c r="K35" s="55">
        <f>$K$31+$K$32+$K$33+$K$34</f>
        <v>90</v>
      </c>
      <c r="L35" s="55">
        <f>SUM($C$35:$K$35)</f>
        <v>7128</v>
      </c>
      <c r="M35" s="58">
        <f>$N$35/$L$35</f>
        <v>6.2569696969696968</v>
      </c>
      <c r="N35" s="57">
        <f>$N$31+$N$32+$N$33+$N$34</f>
        <v>44599.68</v>
      </c>
      <c r="O35" s="58"/>
      <c r="P35" s="66"/>
    </row>
    <row r="36" spans="1:16" ht="10.5" customHeight="1" thickBot="1" x14ac:dyDescent="0.3">
      <c r="A36" s="67"/>
      <c r="B36" s="68" t="s">
        <v>59</v>
      </c>
      <c r="C36" s="69">
        <f>IF($C$35&lt;&gt;0,$C$35/$L$35*100,0)</f>
        <v>12.878787878787879</v>
      </c>
      <c r="D36" s="70">
        <f>IF($D$35&lt;&gt;0,$D$35/$L$35*100,0)</f>
        <v>23.98989898989899</v>
      </c>
      <c r="E36" s="70">
        <f>IF($E$35&lt;&gt;0,$E$35/$L$35*100,0)</f>
        <v>25.631313131313131</v>
      </c>
      <c r="F36" s="70">
        <f>IF($F$35&lt;&gt;0,$F$35/$L$35*100,0)</f>
        <v>20.075757575757574</v>
      </c>
      <c r="G36" s="70">
        <f>IF($G$35&lt;&gt;0,$G$35/$L$35*100,0)</f>
        <v>12.373737373737374</v>
      </c>
      <c r="H36" s="70">
        <f>IF($H$35&lt;&gt;0,$H$35/$L$35*100,0)</f>
        <v>1.2626262626262625</v>
      </c>
      <c r="I36" s="70">
        <f>IF($I$35&lt;&gt;0,$I$35/$L$35*100,0)</f>
        <v>1.2626262626262625</v>
      </c>
      <c r="J36" s="70">
        <f>IF($J$35&lt;&gt;0,$J$35/$L$35*100,0)</f>
        <v>1.2626262626262625</v>
      </c>
      <c r="K36" s="70">
        <f>IF($K$35&lt;&gt;0,$K$35/$L$35*100,0)</f>
        <v>1.2626262626262625</v>
      </c>
      <c r="L36" s="70">
        <v>100</v>
      </c>
      <c r="M36" s="71"/>
      <c r="N36" s="71"/>
      <c r="O36" s="71"/>
      <c r="P36" s="71"/>
    </row>
  </sheetData>
  <mergeCells count="19">
    <mergeCell ref="A6:P6"/>
    <mergeCell ref="A1:P1"/>
    <mergeCell ref="A2:P2"/>
    <mergeCell ref="A3:P3"/>
    <mergeCell ref="A4:P4"/>
    <mergeCell ref="A5:P5"/>
    <mergeCell ref="A31:A35"/>
    <mergeCell ref="O7:O8"/>
    <mergeCell ref="P7:P8"/>
    <mergeCell ref="P9:P13"/>
    <mergeCell ref="P14:P18"/>
    <mergeCell ref="P19:P23"/>
    <mergeCell ref="P24:P28"/>
    <mergeCell ref="A7:A8"/>
    <mergeCell ref="B7:B8"/>
    <mergeCell ref="C7:K7"/>
    <mergeCell ref="L7:L8"/>
    <mergeCell ref="M7:M8"/>
    <mergeCell ref="N7:N8"/>
  </mergeCells>
  <pageMargins left="0.75" right="0.75" top="1" bottom="0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6"/>
  <sheetViews>
    <sheetView topLeftCell="A37" zoomScale="98" zoomScaleNormal="98" workbookViewId="0">
      <selection activeCell="M70" sqref="M70"/>
    </sheetView>
  </sheetViews>
  <sheetFormatPr defaultColWidth="8.28515625" defaultRowHeight="16.5" customHeight="1" x14ac:dyDescent="0.25"/>
  <cols>
    <col min="1" max="1" width="14.5703125" style="36" customWidth="1"/>
    <col min="2" max="2" width="20.7109375" style="36" customWidth="1"/>
    <col min="3" max="13" width="8.28515625" style="36" customWidth="1"/>
    <col min="14" max="14" width="10.28515625" style="36" customWidth="1"/>
    <col min="15" max="15" width="12.42578125" style="36" customWidth="1"/>
    <col min="16" max="16" width="34.5703125" style="36" customWidth="1"/>
    <col min="17" max="256" width="8.28515625" style="1"/>
    <col min="257" max="257" width="14.5703125" style="1" customWidth="1"/>
    <col min="258" max="258" width="20.7109375" style="1" customWidth="1"/>
    <col min="259" max="269" width="8.28515625" style="1" customWidth="1"/>
    <col min="270" max="270" width="10.28515625" style="1" customWidth="1"/>
    <col min="271" max="271" width="12.42578125" style="1" customWidth="1"/>
    <col min="272" max="272" width="20.7109375" style="1" customWidth="1"/>
    <col min="273" max="512" width="8.28515625" style="1"/>
    <col min="513" max="513" width="14.5703125" style="1" customWidth="1"/>
    <col min="514" max="514" width="20.7109375" style="1" customWidth="1"/>
    <col min="515" max="525" width="8.28515625" style="1" customWidth="1"/>
    <col min="526" max="526" width="10.28515625" style="1" customWidth="1"/>
    <col min="527" max="527" width="12.42578125" style="1" customWidth="1"/>
    <col min="528" max="528" width="20.7109375" style="1" customWidth="1"/>
    <col min="529" max="768" width="8.28515625" style="1"/>
    <col min="769" max="769" width="14.5703125" style="1" customWidth="1"/>
    <col min="770" max="770" width="20.7109375" style="1" customWidth="1"/>
    <col min="771" max="781" width="8.28515625" style="1" customWidth="1"/>
    <col min="782" max="782" width="10.28515625" style="1" customWidth="1"/>
    <col min="783" max="783" width="12.42578125" style="1" customWidth="1"/>
    <col min="784" max="784" width="20.7109375" style="1" customWidth="1"/>
    <col min="785" max="1024" width="8.28515625" style="1"/>
    <col min="1025" max="1025" width="14.5703125" style="1" customWidth="1"/>
    <col min="1026" max="1026" width="20.7109375" style="1" customWidth="1"/>
    <col min="1027" max="1037" width="8.28515625" style="1" customWidth="1"/>
    <col min="1038" max="1038" width="10.28515625" style="1" customWidth="1"/>
    <col min="1039" max="1039" width="12.42578125" style="1" customWidth="1"/>
    <col min="1040" max="1040" width="20.7109375" style="1" customWidth="1"/>
    <col min="1041" max="1280" width="8.28515625" style="1"/>
    <col min="1281" max="1281" width="14.5703125" style="1" customWidth="1"/>
    <col min="1282" max="1282" width="20.7109375" style="1" customWidth="1"/>
    <col min="1283" max="1293" width="8.28515625" style="1" customWidth="1"/>
    <col min="1294" max="1294" width="10.28515625" style="1" customWidth="1"/>
    <col min="1295" max="1295" width="12.42578125" style="1" customWidth="1"/>
    <col min="1296" max="1296" width="20.7109375" style="1" customWidth="1"/>
    <col min="1297" max="1536" width="8.28515625" style="1"/>
    <col min="1537" max="1537" width="14.5703125" style="1" customWidth="1"/>
    <col min="1538" max="1538" width="20.7109375" style="1" customWidth="1"/>
    <col min="1539" max="1549" width="8.28515625" style="1" customWidth="1"/>
    <col min="1550" max="1550" width="10.28515625" style="1" customWidth="1"/>
    <col min="1551" max="1551" width="12.42578125" style="1" customWidth="1"/>
    <col min="1552" max="1552" width="20.7109375" style="1" customWidth="1"/>
    <col min="1553" max="1792" width="8.28515625" style="1"/>
    <col min="1793" max="1793" width="14.5703125" style="1" customWidth="1"/>
    <col min="1794" max="1794" width="20.7109375" style="1" customWidth="1"/>
    <col min="1795" max="1805" width="8.28515625" style="1" customWidth="1"/>
    <col min="1806" max="1806" width="10.28515625" style="1" customWidth="1"/>
    <col min="1807" max="1807" width="12.42578125" style="1" customWidth="1"/>
    <col min="1808" max="1808" width="20.7109375" style="1" customWidth="1"/>
    <col min="1809" max="2048" width="8.28515625" style="1"/>
    <col min="2049" max="2049" width="14.5703125" style="1" customWidth="1"/>
    <col min="2050" max="2050" width="20.7109375" style="1" customWidth="1"/>
    <col min="2051" max="2061" width="8.28515625" style="1" customWidth="1"/>
    <col min="2062" max="2062" width="10.28515625" style="1" customWidth="1"/>
    <col min="2063" max="2063" width="12.42578125" style="1" customWidth="1"/>
    <col min="2064" max="2064" width="20.7109375" style="1" customWidth="1"/>
    <col min="2065" max="2304" width="8.28515625" style="1"/>
    <col min="2305" max="2305" width="14.5703125" style="1" customWidth="1"/>
    <col min="2306" max="2306" width="20.7109375" style="1" customWidth="1"/>
    <col min="2307" max="2317" width="8.28515625" style="1" customWidth="1"/>
    <col min="2318" max="2318" width="10.28515625" style="1" customWidth="1"/>
    <col min="2319" max="2319" width="12.42578125" style="1" customWidth="1"/>
    <col min="2320" max="2320" width="20.7109375" style="1" customWidth="1"/>
    <col min="2321" max="2560" width="8.28515625" style="1"/>
    <col min="2561" max="2561" width="14.5703125" style="1" customWidth="1"/>
    <col min="2562" max="2562" width="20.7109375" style="1" customWidth="1"/>
    <col min="2563" max="2573" width="8.28515625" style="1" customWidth="1"/>
    <col min="2574" max="2574" width="10.28515625" style="1" customWidth="1"/>
    <col min="2575" max="2575" width="12.42578125" style="1" customWidth="1"/>
    <col min="2576" max="2576" width="20.7109375" style="1" customWidth="1"/>
    <col min="2577" max="2816" width="8.28515625" style="1"/>
    <col min="2817" max="2817" width="14.5703125" style="1" customWidth="1"/>
    <col min="2818" max="2818" width="20.7109375" style="1" customWidth="1"/>
    <col min="2819" max="2829" width="8.28515625" style="1" customWidth="1"/>
    <col min="2830" max="2830" width="10.28515625" style="1" customWidth="1"/>
    <col min="2831" max="2831" width="12.42578125" style="1" customWidth="1"/>
    <col min="2832" max="2832" width="20.7109375" style="1" customWidth="1"/>
    <col min="2833" max="3072" width="8.28515625" style="1"/>
    <col min="3073" max="3073" width="14.5703125" style="1" customWidth="1"/>
    <col min="3074" max="3074" width="20.7109375" style="1" customWidth="1"/>
    <col min="3075" max="3085" width="8.28515625" style="1" customWidth="1"/>
    <col min="3086" max="3086" width="10.28515625" style="1" customWidth="1"/>
    <col min="3087" max="3087" width="12.42578125" style="1" customWidth="1"/>
    <col min="3088" max="3088" width="20.7109375" style="1" customWidth="1"/>
    <col min="3089" max="3328" width="8.28515625" style="1"/>
    <col min="3329" max="3329" width="14.5703125" style="1" customWidth="1"/>
    <col min="3330" max="3330" width="20.7109375" style="1" customWidth="1"/>
    <col min="3331" max="3341" width="8.28515625" style="1" customWidth="1"/>
    <col min="3342" max="3342" width="10.28515625" style="1" customWidth="1"/>
    <col min="3343" max="3343" width="12.42578125" style="1" customWidth="1"/>
    <col min="3344" max="3344" width="20.7109375" style="1" customWidth="1"/>
    <col min="3345" max="3584" width="8.28515625" style="1"/>
    <col min="3585" max="3585" width="14.5703125" style="1" customWidth="1"/>
    <col min="3586" max="3586" width="20.7109375" style="1" customWidth="1"/>
    <col min="3587" max="3597" width="8.28515625" style="1" customWidth="1"/>
    <col min="3598" max="3598" width="10.28515625" style="1" customWidth="1"/>
    <col min="3599" max="3599" width="12.42578125" style="1" customWidth="1"/>
    <col min="3600" max="3600" width="20.7109375" style="1" customWidth="1"/>
    <col min="3601" max="3840" width="8.28515625" style="1"/>
    <col min="3841" max="3841" width="14.5703125" style="1" customWidth="1"/>
    <col min="3842" max="3842" width="20.7109375" style="1" customWidth="1"/>
    <col min="3843" max="3853" width="8.28515625" style="1" customWidth="1"/>
    <col min="3854" max="3854" width="10.28515625" style="1" customWidth="1"/>
    <col min="3855" max="3855" width="12.42578125" style="1" customWidth="1"/>
    <col min="3856" max="3856" width="20.7109375" style="1" customWidth="1"/>
    <col min="3857" max="4096" width="8.28515625" style="1"/>
    <col min="4097" max="4097" width="14.5703125" style="1" customWidth="1"/>
    <col min="4098" max="4098" width="20.7109375" style="1" customWidth="1"/>
    <col min="4099" max="4109" width="8.28515625" style="1" customWidth="1"/>
    <col min="4110" max="4110" width="10.28515625" style="1" customWidth="1"/>
    <col min="4111" max="4111" width="12.42578125" style="1" customWidth="1"/>
    <col min="4112" max="4112" width="20.7109375" style="1" customWidth="1"/>
    <col min="4113" max="4352" width="8.28515625" style="1"/>
    <col min="4353" max="4353" width="14.5703125" style="1" customWidth="1"/>
    <col min="4354" max="4354" width="20.7109375" style="1" customWidth="1"/>
    <col min="4355" max="4365" width="8.28515625" style="1" customWidth="1"/>
    <col min="4366" max="4366" width="10.28515625" style="1" customWidth="1"/>
    <col min="4367" max="4367" width="12.42578125" style="1" customWidth="1"/>
    <col min="4368" max="4368" width="20.7109375" style="1" customWidth="1"/>
    <col min="4369" max="4608" width="8.28515625" style="1"/>
    <col min="4609" max="4609" width="14.5703125" style="1" customWidth="1"/>
    <col min="4610" max="4610" width="20.7109375" style="1" customWidth="1"/>
    <col min="4611" max="4621" width="8.28515625" style="1" customWidth="1"/>
    <col min="4622" max="4622" width="10.28515625" style="1" customWidth="1"/>
    <col min="4623" max="4623" width="12.42578125" style="1" customWidth="1"/>
    <col min="4624" max="4624" width="20.7109375" style="1" customWidth="1"/>
    <col min="4625" max="4864" width="8.28515625" style="1"/>
    <col min="4865" max="4865" width="14.5703125" style="1" customWidth="1"/>
    <col min="4866" max="4866" width="20.7109375" style="1" customWidth="1"/>
    <col min="4867" max="4877" width="8.28515625" style="1" customWidth="1"/>
    <col min="4878" max="4878" width="10.28515625" style="1" customWidth="1"/>
    <col min="4879" max="4879" width="12.42578125" style="1" customWidth="1"/>
    <col min="4880" max="4880" width="20.7109375" style="1" customWidth="1"/>
    <col min="4881" max="5120" width="8.28515625" style="1"/>
    <col min="5121" max="5121" width="14.5703125" style="1" customWidth="1"/>
    <col min="5122" max="5122" width="20.7109375" style="1" customWidth="1"/>
    <col min="5123" max="5133" width="8.28515625" style="1" customWidth="1"/>
    <col min="5134" max="5134" width="10.28515625" style="1" customWidth="1"/>
    <col min="5135" max="5135" width="12.42578125" style="1" customWidth="1"/>
    <col min="5136" max="5136" width="20.7109375" style="1" customWidth="1"/>
    <col min="5137" max="5376" width="8.28515625" style="1"/>
    <col min="5377" max="5377" width="14.5703125" style="1" customWidth="1"/>
    <col min="5378" max="5378" width="20.7109375" style="1" customWidth="1"/>
    <col min="5379" max="5389" width="8.28515625" style="1" customWidth="1"/>
    <col min="5390" max="5390" width="10.28515625" style="1" customWidth="1"/>
    <col min="5391" max="5391" width="12.42578125" style="1" customWidth="1"/>
    <col min="5392" max="5392" width="20.7109375" style="1" customWidth="1"/>
    <col min="5393" max="5632" width="8.28515625" style="1"/>
    <col min="5633" max="5633" width="14.5703125" style="1" customWidth="1"/>
    <col min="5634" max="5634" width="20.7109375" style="1" customWidth="1"/>
    <col min="5635" max="5645" width="8.28515625" style="1" customWidth="1"/>
    <col min="5646" max="5646" width="10.28515625" style="1" customWidth="1"/>
    <col min="5647" max="5647" width="12.42578125" style="1" customWidth="1"/>
    <col min="5648" max="5648" width="20.7109375" style="1" customWidth="1"/>
    <col min="5649" max="5888" width="8.28515625" style="1"/>
    <col min="5889" max="5889" width="14.5703125" style="1" customWidth="1"/>
    <col min="5890" max="5890" width="20.7109375" style="1" customWidth="1"/>
    <col min="5891" max="5901" width="8.28515625" style="1" customWidth="1"/>
    <col min="5902" max="5902" width="10.28515625" style="1" customWidth="1"/>
    <col min="5903" max="5903" width="12.42578125" style="1" customWidth="1"/>
    <col min="5904" max="5904" width="20.7109375" style="1" customWidth="1"/>
    <col min="5905" max="6144" width="8.28515625" style="1"/>
    <col min="6145" max="6145" width="14.5703125" style="1" customWidth="1"/>
    <col min="6146" max="6146" width="20.7109375" style="1" customWidth="1"/>
    <col min="6147" max="6157" width="8.28515625" style="1" customWidth="1"/>
    <col min="6158" max="6158" width="10.28515625" style="1" customWidth="1"/>
    <col min="6159" max="6159" width="12.42578125" style="1" customWidth="1"/>
    <col min="6160" max="6160" width="20.7109375" style="1" customWidth="1"/>
    <col min="6161" max="6400" width="8.28515625" style="1"/>
    <col min="6401" max="6401" width="14.5703125" style="1" customWidth="1"/>
    <col min="6402" max="6402" width="20.7109375" style="1" customWidth="1"/>
    <col min="6403" max="6413" width="8.28515625" style="1" customWidth="1"/>
    <col min="6414" max="6414" width="10.28515625" style="1" customWidth="1"/>
    <col min="6415" max="6415" width="12.42578125" style="1" customWidth="1"/>
    <col min="6416" max="6416" width="20.7109375" style="1" customWidth="1"/>
    <col min="6417" max="6656" width="8.28515625" style="1"/>
    <col min="6657" max="6657" width="14.5703125" style="1" customWidth="1"/>
    <col min="6658" max="6658" width="20.7109375" style="1" customWidth="1"/>
    <col min="6659" max="6669" width="8.28515625" style="1" customWidth="1"/>
    <col min="6670" max="6670" width="10.28515625" style="1" customWidth="1"/>
    <col min="6671" max="6671" width="12.42578125" style="1" customWidth="1"/>
    <col min="6672" max="6672" width="20.7109375" style="1" customWidth="1"/>
    <col min="6673" max="6912" width="8.28515625" style="1"/>
    <col min="6913" max="6913" width="14.5703125" style="1" customWidth="1"/>
    <col min="6914" max="6914" width="20.7109375" style="1" customWidth="1"/>
    <col min="6915" max="6925" width="8.28515625" style="1" customWidth="1"/>
    <col min="6926" max="6926" width="10.28515625" style="1" customWidth="1"/>
    <col min="6927" max="6927" width="12.42578125" style="1" customWidth="1"/>
    <col min="6928" max="6928" width="20.7109375" style="1" customWidth="1"/>
    <col min="6929" max="7168" width="8.28515625" style="1"/>
    <col min="7169" max="7169" width="14.5703125" style="1" customWidth="1"/>
    <col min="7170" max="7170" width="20.7109375" style="1" customWidth="1"/>
    <col min="7171" max="7181" width="8.28515625" style="1" customWidth="1"/>
    <col min="7182" max="7182" width="10.28515625" style="1" customWidth="1"/>
    <col min="7183" max="7183" width="12.42578125" style="1" customWidth="1"/>
    <col min="7184" max="7184" width="20.7109375" style="1" customWidth="1"/>
    <col min="7185" max="7424" width="8.28515625" style="1"/>
    <col min="7425" max="7425" width="14.5703125" style="1" customWidth="1"/>
    <col min="7426" max="7426" width="20.7109375" style="1" customWidth="1"/>
    <col min="7427" max="7437" width="8.28515625" style="1" customWidth="1"/>
    <col min="7438" max="7438" width="10.28515625" style="1" customWidth="1"/>
    <col min="7439" max="7439" width="12.42578125" style="1" customWidth="1"/>
    <col min="7440" max="7440" width="20.7109375" style="1" customWidth="1"/>
    <col min="7441" max="7680" width="8.28515625" style="1"/>
    <col min="7681" max="7681" width="14.5703125" style="1" customWidth="1"/>
    <col min="7682" max="7682" width="20.7109375" style="1" customWidth="1"/>
    <col min="7683" max="7693" width="8.28515625" style="1" customWidth="1"/>
    <col min="7694" max="7694" width="10.28515625" style="1" customWidth="1"/>
    <col min="7695" max="7695" width="12.42578125" style="1" customWidth="1"/>
    <col min="7696" max="7696" width="20.7109375" style="1" customWidth="1"/>
    <col min="7697" max="7936" width="8.28515625" style="1"/>
    <col min="7937" max="7937" width="14.5703125" style="1" customWidth="1"/>
    <col min="7938" max="7938" width="20.7109375" style="1" customWidth="1"/>
    <col min="7939" max="7949" width="8.28515625" style="1" customWidth="1"/>
    <col min="7950" max="7950" width="10.28515625" style="1" customWidth="1"/>
    <col min="7951" max="7951" width="12.42578125" style="1" customWidth="1"/>
    <col min="7952" max="7952" width="20.7109375" style="1" customWidth="1"/>
    <col min="7953" max="8192" width="8.28515625" style="1"/>
    <col min="8193" max="8193" width="14.5703125" style="1" customWidth="1"/>
    <col min="8194" max="8194" width="20.7109375" style="1" customWidth="1"/>
    <col min="8195" max="8205" width="8.28515625" style="1" customWidth="1"/>
    <col min="8206" max="8206" width="10.28515625" style="1" customWidth="1"/>
    <col min="8207" max="8207" width="12.42578125" style="1" customWidth="1"/>
    <col min="8208" max="8208" width="20.7109375" style="1" customWidth="1"/>
    <col min="8209" max="8448" width="8.28515625" style="1"/>
    <col min="8449" max="8449" width="14.5703125" style="1" customWidth="1"/>
    <col min="8450" max="8450" width="20.7109375" style="1" customWidth="1"/>
    <col min="8451" max="8461" width="8.28515625" style="1" customWidth="1"/>
    <col min="8462" max="8462" width="10.28515625" style="1" customWidth="1"/>
    <col min="8463" max="8463" width="12.42578125" style="1" customWidth="1"/>
    <col min="8464" max="8464" width="20.7109375" style="1" customWidth="1"/>
    <col min="8465" max="8704" width="8.28515625" style="1"/>
    <col min="8705" max="8705" width="14.5703125" style="1" customWidth="1"/>
    <col min="8706" max="8706" width="20.7109375" style="1" customWidth="1"/>
    <col min="8707" max="8717" width="8.28515625" style="1" customWidth="1"/>
    <col min="8718" max="8718" width="10.28515625" style="1" customWidth="1"/>
    <col min="8719" max="8719" width="12.42578125" style="1" customWidth="1"/>
    <col min="8720" max="8720" width="20.7109375" style="1" customWidth="1"/>
    <col min="8721" max="8960" width="8.28515625" style="1"/>
    <col min="8961" max="8961" width="14.5703125" style="1" customWidth="1"/>
    <col min="8962" max="8962" width="20.7109375" style="1" customWidth="1"/>
    <col min="8963" max="8973" width="8.28515625" style="1" customWidth="1"/>
    <col min="8974" max="8974" width="10.28515625" style="1" customWidth="1"/>
    <col min="8975" max="8975" width="12.42578125" style="1" customWidth="1"/>
    <col min="8976" max="8976" width="20.7109375" style="1" customWidth="1"/>
    <col min="8977" max="9216" width="8.28515625" style="1"/>
    <col min="9217" max="9217" width="14.5703125" style="1" customWidth="1"/>
    <col min="9218" max="9218" width="20.7109375" style="1" customWidth="1"/>
    <col min="9219" max="9229" width="8.28515625" style="1" customWidth="1"/>
    <col min="9230" max="9230" width="10.28515625" style="1" customWidth="1"/>
    <col min="9231" max="9231" width="12.42578125" style="1" customWidth="1"/>
    <col min="9232" max="9232" width="20.7109375" style="1" customWidth="1"/>
    <col min="9233" max="9472" width="8.28515625" style="1"/>
    <col min="9473" max="9473" width="14.5703125" style="1" customWidth="1"/>
    <col min="9474" max="9474" width="20.7109375" style="1" customWidth="1"/>
    <col min="9475" max="9485" width="8.28515625" style="1" customWidth="1"/>
    <col min="9486" max="9486" width="10.28515625" style="1" customWidth="1"/>
    <col min="9487" max="9487" width="12.42578125" style="1" customWidth="1"/>
    <col min="9488" max="9488" width="20.7109375" style="1" customWidth="1"/>
    <col min="9489" max="9728" width="8.28515625" style="1"/>
    <col min="9729" max="9729" width="14.5703125" style="1" customWidth="1"/>
    <col min="9730" max="9730" width="20.7109375" style="1" customWidth="1"/>
    <col min="9731" max="9741" width="8.28515625" style="1" customWidth="1"/>
    <col min="9742" max="9742" width="10.28515625" style="1" customWidth="1"/>
    <col min="9743" max="9743" width="12.42578125" style="1" customWidth="1"/>
    <col min="9744" max="9744" width="20.7109375" style="1" customWidth="1"/>
    <col min="9745" max="9984" width="8.28515625" style="1"/>
    <col min="9985" max="9985" width="14.5703125" style="1" customWidth="1"/>
    <col min="9986" max="9986" width="20.7109375" style="1" customWidth="1"/>
    <col min="9987" max="9997" width="8.28515625" style="1" customWidth="1"/>
    <col min="9998" max="9998" width="10.28515625" style="1" customWidth="1"/>
    <col min="9999" max="9999" width="12.42578125" style="1" customWidth="1"/>
    <col min="10000" max="10000" width="20.7109375" style="1" customWidth="1"/>
    <col min="10001" max="10240" width="8.28515625" style="1"/>
    <col min="10241" max="10241" width="14.5703125" style="1" customWidth="1"/>
    <col min="10242" max="10242" width="20.7109375" style="1" customWidth="1"/>
    <col min="10243" max="10253" width="8.28515625" style="1" customWidth="1"/>
    <col min="10254" max="10254" width="10.28515625" style="1" customWidth="1"/>
    <col min="10255" max="10255" width="12.42578125" style="1" customWidth="1"/>
    <col min="10256" max="10256" width="20.7109375" style="1" customWidth="1"/>
    <col min="10257" max="10496" width="8.28515625" style="1"/>
    <col min="10497" max="10497" width="14.5703125" style="1" customWidth="1"/>
    <col min="10498" max="10498" width="20.7109375" style="1" customWidth="1"/>
    <col min="10499" max="10509" width="8.28515625" style="1" customWidth="1"/>
    <col min="10510" max="10510" width="10.28515625" style="1" customWidth="1"/>
    <col min="10511" max="10511" width="12.42578125" style="1" customWidth="1"/>
    <col min="10512" max="10512" width="20.7109375" style="1" customWidth="1"/>
    <col min="10513" max="10752" width="8.28515625" style="1"/>
    <col min="10753" max="10753" width="14.5703125" style="1" customWidth="1"/>
    <col min="10754" max="10754" width="20.7109375" style="1" customWidth="1"/>
    <col min="10755" max="10765" width="8.28515625" style="1" customWidth="1"/>
    <col min="10766" max="10766" width="10.28515625" style="1" customWidth="1"/>
    <col min="10767" max="10767" width="12.42578125" style="1" customWidth="1"/>
    <col min="10768" max="10768" width="20.7109375" style="1" customWidth="1"/>
    <col min="10769" max="11008" width="8.28515625" style="1"/>
    <col min="11009" max="11009" width="14.5703125" style="1" customWidth="1"/>
    <col min="11010" max="11010" width="20.7109375" style="1" customWidth="1"/>
    <col min="11011" max="11021" width="8.28515625" style="1" customWidth="1"/>
    <col min="11022" max="11022" width="10.28515625" style="1" customWidth="1"/>
    <col min="11023" max="11023" width="12.42578125" style="1" customWidth="1"/>
    <col min="11024" max="11024" width="20.7109375" style="1" customWidth="1"/>
    <col min="11025" max="11264" width="8.28515625" style="1"/>
    <col min="11265" max="11265" width="14.5703125" style="1" customWidth="1"/>
    <col min="11266" max="11266" width="20.7109375" style="1" customWidth="1"/>
    <col min="11267" max="11277" width="8.28515625" style="1" customWidth="1"/>
    <col min="11278" max="11278" width="10.28515625" style="1" customWidth="1"/>
    <col min="11279" max="11279" width="12.42578125" style="1" customWidth="1"/>
    <col min="11280" max="11280" width="20.7109375" style="1" customWidth="1"/>
    <col min="11281" max="11520" width="8.28515625" style="1"/>
    <col min="11521" max="11521" width="14.5703125" style="1" customWidth="1"/>
    <col min="11522" max="11522" width="20.7109375" style="1" customWidth="1"/>
    <col min="11523" max="11533" width="8.28515625" style="1" customWidth="1"/>
    <col min="11534" max="11534" width="10.28515625" style="1" customWidth="1"/>
    <col min="11535" max="11535" width="12.42578125" style="1" customWidth="1"/>
    <col min="11536" max="11536" width="20.7109375" style="1" customWidth="1"/>
    <col min="11537" max="11776" width="8.28515625" style="1"/>
    <col min="11777" max="11777" width="14.5703125" style="1" customWidth="1"/>
    <col min="11778" max="11778" width="20.7109375" style="1" customWidth="1"/>
    <col min="11779" max="11789" width="8.28515625" style="1" customWidth="1"/>
    <col min="11790" max="11790" width="10.28515625" style="1" customWidth="1"/>
    <col min="11791" max="11791" width="12.42578125" style="1" customWidth="1"/>
    <col min="11792" max="11792" width="20.7109375" style="1" customWidth="1"/>
    <col min="11793" max="12032" width="8.28515625" style="1"/>
    <col min="12033" max="12033" width="14.5703125" style="1" customWidth="1"/>
    <col min="12034" max="12034" width="20.7109375" style="1" customWidth="1"/>
    <col min="12035" max="12045" width="8.28515625" style="1" customWidth="1"/>
    <col min="12046" max="12046" width="10.28515625" style="1" customWidth="1"/>
    <col min="12047" max="12047" width="12.42578125" style="1" customWidth="1"/>
    <col min="12048" max="12048" width="20.7109375" style="1" customWidth="1"/>
    <col min="12049" max="12288" width="8.28515625" style="1"/>
    <col min="12289" max="12289" width="14.5703125" style="1" customWidth="1"/>
    <col min="12290" max="12290" width="20.7109375" style="1" customWidth="1"/>
    <col min="12291" max="12301" width="8.28515625" style="1" customWidth="1"/>
    <col min="12302" max="12302" width="10.28515625" style="1" customWidth="1"/>
    <col min="12303" max="12303" width="12.42578125" style="1" customWidth="1"/>
    <col min="12304" max="12304" width="20.7109375" style="1" customWidth="1"/>
    <col min="12305" max="12544" width="8.28515625" style="1"/>
    <col min="12545" max="12545" width="14.5703125" style="1" customWidth="1"/>
    <col min="12546" max="12546" width="20.7109375" style="1" customWidth="1"/>
    <col min="12547" max="12557" width="8.28515625" style="1" customWidth="1"/>
    <col min="12558" max="12558" width="10.28515625" style="1" customWidth="1"/>
    <col min="12559" max="12559" width="12.42578125" style="1" customWidth="1"/>
    <col min="12560" max="12560" width="20.7109375" style="1" customWidth="1"/>
    <col min="12561" max="12800" width="8.28515625" style="1"/>
    <col min="12801" max="12801" width="14.5703125" style="1" customWidth="1"/>
    <col min="12802" max="12802" width="20.7109375" style="1" customWidth="1"/>
    <col min="12803" max="12813" width="8.28515625" style="1" customWidth="1"/>
    <col min="12814" max="12814" width="10.28515625" style="1" customWidth="1"/>
    <col min="12815" max="12815" width="12.42578125" style="1" customWidth="1"/>
    <col min="12816" max="12816" width="20.7109375" style="1" customWidth="1"/>
    <col min="12817" max="13056" width="8.28515625" style="1"/>
    <col min="13057" max="13057" width="14.5703125" style="1" customWidth="1"/>
    <col min="13058" max="13058" width="20.7109375" style="1" customWidth="1"/>
    <col min="13059" max="13069" width="8.28515625" style="1" customWidth="1"/>
    <col min="13070" max="13070" width="10.28515625" style="1" customWidth="1"/>
    <col min="13071" max="13071" width="12.42578125" style="1" customWidth="1"/>
    <col min="13072" max="13072" width="20.7109375" style="1" customWidth="1"/>
    <col min="13073" max="13312" width="8.28515625" style="1"/>
    <col min="13313" max="13313" width="14.5703125" style="1" customWidth="1"/>
    <col min="13314" max="13314" width="20.7109375" style="1" customWidth="1"/>
    <col min="13315" max="13325" width="8.28515625" style="1" customWidth="1"/>
    <col min="13326" max="13326" width="10.28515625" style="1" customWidth="1"/>
    <col min="13327" max="13327" width="12.42578125" style="1" customWidth="1"/>
    <col min="13328" max="13328" width="20.7109375" style="1" customWidth="1"/>
    <col min="13329" max="13568" width="8.28515625" style="1"/>
    <col min="13569" max="13569" width="14.5703125" style="1" customWidth="1"/>
    <col min="13570" max="13570" width="20.7109375" style="1" customWidth="1"/>
    <col min="13571" max="13581" width="8.28515625" style="1" customWidth="1"/>
    <col min="13582" max="13582" width="10.28515625" style="1" customWidth="1"/>
    <col min="13583" max="13583" width="12.42578125" style="1" customWidth="1"/>
    <col min="13584" max="13584" width="20.7109375" style="1" customWidth="1"/>
    <col min="13585" max="13824" width="8.28515625" style="1"/>
    <col min="13825" max="13825" width="14.5703125" style="1" customWidth="1"/>
    <col min="13826" max="13826" width="20.7109375" style="1" customWidth="1"/>
    <col min="13827" max="13837" width="8.28515625" style="1" customWidth="1"/>
    <col min="13838" max="13838" width="10.28515625" style="1" customWidth="1"/>
    <col min="13839" max="13839" width="12.42578125" style="1" customWidth="1"/>
    <col min="13840" max="13840" width="20.7109375" style="1" customWidth="1"/>
    <col min="13841" max="14080" width="8.28515625" style="1"/>
    <col min="14081" max="14081" width="14.5703125" style="1" customWidth="1"/>
    <col min="14082" max="14082" width="20.7109375" style="1" customWidth="1"/>
    <col min="14083" max="14093" width="8.28515625" style="1" customWidth="1"/>
    <col min="14094" max="14094" width="10.28515625" style="1" customWidth="1"/>
    <col min="14095" max="14095" width="12.42578125" style="1" customWidth="1"/>
    <col min="14096" max="14096" width="20.7109375" style="1" customWidth="1"/>
    <col min="14097" max="14336" width="8.28515625" style="1"/>
    <col min="14337" max="14337" width="14.5703125" style="1" customWidth="1"/>
    <col min="14338" max="14338" width="20.7109375" style="1" customWidth="1"/>
    <col min="14339" max="14349" width="8.28515625" style="1" customWidth="1"/>
    <col min="14350" max="14350" width="10.28515625" style="1" customWidth="1"/>
    <col min="14351" max="14351" width="12.42578125" style="1" customWidth="1"/>
    <col min="14352" max="14352" width="20.7109375" style="1" customWidth="1"/>
    <col min="14353" max="14592" width="8.28515625" style="1"/>
    <col min="14593" max="14593" width="14.5703125" style="1" customWidth="1"/>
    <col min="14594" max="14594" width="20.7109375" style="1" customWidth="1"/>
    <col min="14595" max="14605" width="8.28515625" style="1" customWidth="1"/>
    <col min="14606" max="14606" width="10.28515625" style="1" customWidth="1"/>
    <col min="14607" max="14607" width="12.42578125" style="1" customWidth="1"/>
    <col min="14608" max="14608" width="20.7109375" style="1" customWidth="1"/>
    <col min="14609" max="14848" width="8.28515625" style="1"/>
    <col min="14849" max="14849" width="14.5703125" style="1" customWidth="1"/>
    <col min="14850" max="14850" width="20.7109375" style="1" customWidth="1"/>
    <col min="14851" max="14861" width="8.28515625" style="1" customWidth="1"/>
    <col min="14862" max="14862" width="10.28515625" style="1" customWidth="1"/>
    <col min="14863" max="14863" width="12.42578125" style="1" customWidth="1"/>
    <col min="14864" max="14864" width="20.7109375" style="1" customWidth="1"/>
    <col min="14865" max="15104" width="8.28515625" style="1"/>
    <col min="15105" max="15105" width="14.5703125" style="1" customWidth="1"/>
    <col min="15106" max="15106" width="20.7109375" style="1" customWidth="1"/>
    <col min="15107" max="15117" width="8.28515625" style="1" customWidth="1"/>
    <col min="15118" max="15118" width="10.28515625" style="1" customWidth="1"/>
    <col min="15119" max="15119" width="12.42578125" style="1" customWidth="1"/>
    <col min="15120" max="15120" width="20.7109375" style="1" customWidth="1"/>
    <col min="15121" max="15360" width="8.28515625" style="1"/>
    <col min="15361" max="15361" width="14.5703125" style="1" customWidth="1"/>
    <col min="15362" max="15362" width="20.7109375" style="1" customWidth="1"/>
    <col min="15363" max="15373" width="8.28515625" style="1" customWidth="1"/>
    <col min="15374" max="15374" width="10.28515625" style="1" customWidth="1"/>
    <col min="15375" max="15375" width="12.42578125" style="1" customWidth="1"/>
    <col min="15376" max="15376" width="20.7109375" style="1" customWidth="1"/>
    <col min="15377" max="15616" width="8.28515625" style="1"/>
    <col min="15617" max="15617" width="14.5703125" style="1" customWidth="1"/>
    <col min="15618" max="15618" width="20.7109375" style="1" customWidth="1"/>
    <col min="15619" max="15629" width="8.28515625" style="1" customWidth="1"/>
    <col min="15630" max="15630" width="10.28515625" style="1" customWidth="1"/>
    <col min="15631" max="15631" width="12.42578125" style="1" customWidth="1"/>
    <col min="15632" max="15632" width="20.7109375" style="1" customWidth="1"/>
    <col min="15633" max="15872" width="8.28515625" style="1"/>
    <col min="15873" max="15873" width="14.5703125" style="1" customWidth="1"/>
    <col min="15874" max="15874" width="20.7109375" style="1" customWidth="1"/>
    <col min="15875" max="15885" width="8.28515625" style="1" customWidth="1"/>
    <col min="15886" max="15886" width="10.28515625" style="1" customWidth="1"/>
    <col min="15887" max="15887" width="12.42578125" style="1" customWidth="1"/>
    <col min="15888" max="15888" width="20.7109375" style="1" customWidth="1"/>
    <col min="15889" max="16128" width="8.28515625" style="1"/>
    <col min="16129" max="16129" width="14.5703125" style="1" customWidth="1"/>
    <col min="16130" max="16130" width="20.7109375" style="1" customWidth="1"/>
    <col min="16131" max="16141" width="8.28515625" style="1" customWidth="1"/>
    <col min="16142" max="16142" width="10.28515625" style="1" customWidth="1"/>
    <col min="16143" max="16143" width="12.42578125" style="1" customWidth="1"/>
    <col min="16144" max="16144" width="20.7109375" style="1" customWidth="1"/>
    <col min="16145" max="16384" width="8.28515625" style="1"/>
  </cols>
  <sheetData>
    <row r="1" spans="1:16" ht="26.25" customHeight="1" x14ac:dyDescent="0.25">
      <c r="A1" s="91" t="s">
        <v>60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11.25" customHeight="1" x14ac:dyDescent="0.25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6" ht="11.25" customHeight="1" x14ac:dyDescent="0.25">
      <c r="A3" s="92" t="s">
        <v>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6" ht="11.25" customHeight="1" x14ac:dyDescent="0.25">
      <c r="A4" s="92" t="s">
        <v>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5" spans="1:16" ht="11.25" customHeight="1" x14ac:dyDescent="0.25">
      <c r="A5" s="92" t="s">
        <v>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1:16" ht="11.25" customHeight="1" thickBot="1" x14ac:dyDescent="0.3">
      <c r="A6" s="92" t="s">
        <v>4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1:16" ht="10.5" customHeight="1" thickBot="1" x14ac:dyDescent="0.3">
      <c r="A7" s="90" t="s">
        <v>5</v>
      </c>
      <c r="B7" s="90" t="s">
        <v>6</v>
      </c>
      <c r="C7" s="93" t="s">
        <v>7</v>
      </c>
      <c r="D7" s="94"/>
      <c r="E7" s="94"/>
      <c r="F7" s="94"/>
      <c r="G7" s="94"/>
      <c r="H7" s="94"/>
      <c r="I7" s="94"/>
      <c r="J7" s="94"/>
      <c r="K7" s="94"/>
      <c r="L7" s="94" t="s">
        <v>8</v>
      </c>
      <c r="M7" s="96" t="s">
        <v>9</v>
      </c>
      <c r="N7" s="90" t="s">
        <v>10</v>
      </c>
      <c r="O7" s="90" t="s">
        <v>11</v>
      </c>
      <c r="P7" s="90" t="s">
        <v>12</v>
      </c>
    </row>
    <row r="8" spans="1:16" ht="10.5" customHeight="1" thickBot="1" x14ac:dyDescent="0.3">
      <c r="A8" s="90"/>
      <c r="B8" s="90"/>
      <c r="C8" s="2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L8" s="95"/>
      <c r="M8" s="97"/>
      <c r="N8" s="90"/>
      <c r="O8" s="90"/>
      <c r="P8" s="90"/>
    </row>
    <row r="9" spans="1:16" ht="10.5" customHeight="1" x14ac:dyDescent="0.25">
      <c r="A9" s="4" t="s">
        <v>22</v>
      </c>
      <c r="B9" s="5" t="s">
        <v>23</v>
      </c>
      <c r="C9" s="6">
        <v>130</v>
      </c>
      <c r="D9" s="7">
        <v>270</v>
      </c>
      <c r="E9" s="7">
        <v>280</v>
      </c>
      <c r="F9" s="7">
        <v>180</v>
      </c>
      <c r="G9" s="7">
        <v>90</v>
      </c>
      <c r="H9" s="7">
        <v>40</v>
      </c>
      <c r="I9" s="7"/>
      <c r="J9" s="7"/>
      <c r="K9" s="7"/>
      <c r="L9" s="7">
        <f>SUM($C$9:$K$9)</f>
        <v>990</v>
      </c>
      <c r="M9" s="8">
        <v>6.21</v>
      </c>
      <c r="N9" s="9">
        <v>6147.9</v>
      </c>
      <c r="O9" s="8">
        <v>14.99</v>
      </c>
      <c r="P9" s="101" t="s">
        <v>61</v>
      </c>
    </row>
    <row r="10" spans="1:16" ht="10.5" customHeight="1" x14ac:dyDescent="0.25">
      <c r="A10" s="10" t="s">
        <v>24</v>
      </c>
      <c r="B10" s="11" t="s">
        <v>23</v>
      </c>
      <c r="C10" s="12"/>
      <c r="D10" s="13"/>
      <c r="E10" s="13"/>
      <c r="F10" s="13"/>
      <c r="G10" s="13"/>
      <c r="H10" s="13"/>
      <c r="I10" s="13">
        <v>40</v>
      </c>
      <c r="J10" s="13">
        <v>40</v>
      </c>
      <c r="K10" s="13">
        <v>40</v>
      </c>
      <c r="L10" s="13">
        <f>SUM($C$10:$K$10)</f>
        <v>120</v>
      </c>
      <c r="M10" s="14">
        <v>7.45</v>
      </c>
      <c r="N10" s="15">
        <v>894</v>
      </c>
      <c r="O10" s="14">
        <v>14.99</v>
      </c>
      <c r="P10" s="102"/>
    </row>
    <row r="11" spans="1:16" ht="10.5" customHeight="1" x14ac:dyDescent="0.25">
      <c r="A11" s="10" t="s">
        <v>25</v>
      </c>
      <c r="B11" s="11" t="s">
        <v>26</v>
      </c>
      <c r="C11" s="12">
        <v>8</v>
      </c>
      <c r="D11" s="13">
        <v>14</v>
      </c>
      <c r="E11" s="13">
        <v>16</v>
      </c>
      <c r="F11" s="13">
        <v>13</v>
      </c>
      <c r="G11" s="13">
        <v>8</v>
      </c>
      <c r="H11" s="13">
        <v>50</v>
      </c>
      <c r="I11" s="13"/>
      <c r="J11" s="13"/>
      <c r="K11" s="13"/>
      <c r="L11" s="13">
        <f>SUM($C$11:$K$11)</f>
        <v>109</v>
      </c>
      <c r="M11" s="14">
        <v>6.21</v>
      </c>
      <c r="N11" s="15">
        <v>676.89</v>
      </c>
      <c r="O11" s="14">
        <v>14.99</v>
      </c>
      <c r="P11" s="102"/>
    </row>
    <row r="12" spans="1:16" ht="10.5" customHeight="1" thickBot="1" x14ac:dyDescent="0.3">
      <c r="A12" s="10" t="s">
        <v>27</v>
      </c>
      <c r="B12" s="11" t="s">
        <v>26</v>
      </c>
      <c r="C12" s="12"/>
      <c r="D12" s="13"/>
      <c r="E12" s="13"/>
      <c r="F12" s="13"/>
      <c r="G12" s="13"/>
      <c r="H12" s="13"/>
      <c r="I12" s="13">
        <v>50</v>
      </c>
      <c r="J12" s="13">
        <v>50</v>
      </c>
      <c r="K12" s="13">
        <v>50</v>
      </c>
      <c r="L12" s="13">
        <f>SUM($C$12:$K$12)</f>
        <v>150</v>
      </c>
      <c r="M12" s="14">
        <v>7.45</v>
      </c>
      <c r="N12" s="15">
        <v>1117.5</v>
      </c>
      <c r="O12" s="14">
        <v>14.99</v>
      </c>
      <c r="P12" s="102"/>
    </row>
    <row r="13" spans="1:16" ht="10.5" customHeight="1" thickBot="1" x14ac:dyDescent="0.3">
      <c r="A13" s="16"/>
      <c r="B13" s="17" t="s">
        <v>28</v>
      </c>
      <c r="C13" s="18">
        <f>$C$9+$C$10+$C$11+$C$12</f>
        <v>138</v>
      </c>
      <c r="D13" s="19">
        <f>$D$9+$D$10+$D$11+$D$12</f>
        <v>284</v>
      </c>
      <c r="E13" s="19">
        <f>$E$9+$E$10+$E$11+$E$12</f>
        <v>296</v>
      </c>
      <c r="F13" s="19">
        <f>$F$9+$F$10+$F$11+$F$12</f>
        <v>193</v>
      </c>
      <c r="G13" s="19">
        <f>$G$9+$G$10+$G$11+$G$12</f>
        <v>98</v>
      </c>
      <c r="H13" s="19">
        <f>$H$9+$H$10+$H$11+$H$12</f>
        <v>90</v>
      </c>
      <c r="I13" s="19">
        <f>$I$9+$I$10+$I$11+$I$12</f>
        <v>90</v>
      </c>
      <c r="J13" s="19">
        <f>$J$9+$J$10+$J$11+$J$12</f>
        <v>90</v>
      </c>
      <c r="K13" s="19">
        <f>$K$9+$K$10+$K$11+$K$12</f>
        <v>90</v>
      </c>
      <c r="L13" s="19">
        <f>SUM($C$13:$K$13)</f>
        <v>1369</v>
      </c>
      <c r="M13" s="20"/>
      <c r="N13" s="21">
        <f>SUM(N$9:N$12)</f>
        <v>8836.2900000000009</v>
      </c>
      <c r="O13" s="22"/>
      <c r="P13" s="103"/>
    </row>
    <row r="14" spans="1:16" ht="10.5" customHeight="1" x14ac:dyDescent="0.25">
      <c r="A14" s="4" t="s">
        <v>29</v>
      </c>
      <c r="B14" s="5" t="s">
        <v>26</v>
      </c>
      <c r="C14" s="6">
        <v>165</v>
      </c>
      <c r="D14" s="7">
        <v>290</v>
      </c>
      <c r="E14" s="7">
        <v>319</v>
      </c>
      <c r="F14" s="7">
        <v>255</v>
      </c>
      <c r="G14" s="7">
        <v>164</v>
      </c>
      <c r="H14" s="7"/>
      <c r="I14" s="7"/>
      <c r="J14" s="7"/>
      <c r="K14" s="7"/>
      <c r="L14" s="7">
        <f>SUM($C$14:$K$14)</f>
        <v>1193</v>
      </c>
      <c r="M14" s="8">
        <v>6.21</v>
      </c>
      <c r="N14" s="9">
        <v>7408.53</v>
      </c>
      <c r="O14" s="8">
        <v>14.99</v>
      </c>
      <c r="P14" s="104" t="s">
        <v>62</v>
      </c>
    </row>
    <row r="15" spans="1:16" ht="10.5" customHeight="1" x14ac:dyDescent="0.25">
      <c r="A15" s="10" t="s">
        <v>30</v>
      </c>
      <c r="B15" s="11"/>
      <c r="C15" s="12"/>
      <c r="D15" s="13"/>
      <c r="E15" s="13"/>
      <c r="F15" s="13"/>
      <c r="G15" s="13"/>
      <c r="H15" s="13"/>
      <c r="I15" s="13"/>
      <c r="J15" s="13"/>
      <c r="K15" s="13"/>
      <c r="L15" s="13">
        <f>SUM($C$15:$K$15)</f>
        <v>0</v>
      </c>
      <c r="M15" s="24"/>
      <c r="N15" s="15"/>
      <c r="O15" s="14"/>
      <c r="P15" s="105"/>
    </row>
    <row r="16" spans="1:16" ht="10.5" customHeight="1" x14ac:dyDescent="0.25">
      <c r="A16" s="10" t="s">
        <v>31</v>
      </c>
      <c r="B16" s="11"/>
      <c r="C16" s="12"/>
      <c r="D16" s="13"/>
      <c r="E16" s="13"/>
      <c r="F16" s="13"/>
      <c r="G16" s="13"/>
      <c r="H16" s="13"/>
      <c r="I16" s="13"/>
      <c r="J16" s="13"/>
      <c r="K16" s="13"/>
      <c r="L16" s="13">
        <f>SUM($C$16:$K$16)</f>
        <v>0</v>
      </c>
      <c r="M16" s="24"/>
      <c r="N16" s="15"/>
      <c r="O16" s="14"/>
      <c r="P16" s="105"/>
    </row>
    <row r="17" spans="1:16" ht="10.5" customHeight="1" thickBot="1" x14ac:dyDescent="0.3">
      <c r="A17" s="10" t="s">
        <v>32</v>
      </c>
      <c r="B17" s="11"/>
      <c r="C17" s="12"/>
      <c r="D17" s="13"/>
      <c r="E17" s="13"/>
      <c r="F17" s="13"/>
      <c r="G17" s="13"/>
      <c r="H17" s="13"/>
      <c r="I17" s="13"/>
      <c r="J17" s="13"/>
      <c r="K17" s="13"/>
      <c r="L17" s="13">
        <f>SUM($C$17:$K$17)</f>
        <v>0</v>
      </c>
      <c r="M17" s="24"/>
      <c r="N17" s="15"/>
      <c r="O17" s="14"/>
      <c r="P17" s="105"/>
    </row>
    <row r="18" spans="1:16" ht="10.5" customHeight="1" thickBot="1" x14ac:dyDescent="0.3">
      <c r="A18" s="16"/>
      <c r="B18" s="17" t="s">
        <v>28</v>
      </c>
      <c r="C18" s="18">
        <f>$C$14+$C$15+$C$16+$C$17</f>
        <v>165</v>
      </c>
      <c r="D18" s="19">
        <f>$D$14+$D$15+$D$16+$D$17</f>
        <v>290</v>
      </c>
      <c r="E18" s="19">
        <f>$E$14+$E$15+$E$16+$E$17</f>
        <v>319</v>
      </c>
      <c r="F18" s="19">
        <f>$F$14+$F$15+$F$16+$F$17</f>
        <v>255</v>
      </c>
      <c r="G18" s="19">
        <f>$G$14+$G$15+$G$16+$G$17</f>
        <v>164</v>
      </c>
      <c r="H18" s="19">
        <f>$H$14+$H$15+$H$16+$H$17</f>
        <v>0</v>
      </c>
      <c r="I18" s="19">
        <f>$I$14+$I$15+$I$16+$I$17</f>
        <v>0</v>
      </c>
      <c r="J18" s="19">
        <f>$J$14+$J$15+$J$16+$J$17</f>
        <v>0</v>
      </c>
      <c r="K18" s="19">
        <f>$K$14+$K$15+$K$16+$K$17</f>
        <v>0</v>
      </c>
      <c r="L18" s="19">
        <f>SUM($C$18:$K$18)</f>
        <v>1193</v>
      </c>
      <c r="M18" s="20"/>
      <c r="N18" s="21">
        <f>SUM(N$14:N$17)</f>
        <v>7408.53</v>
      </c>
      <c r="O18" s="22"/>
      <c r="P18" s="106"/>
    </row>
    <row r="19" spans="1:16" ht="10.5" customHeight="1" x14ac:dyDescent="0.25">
      <c r="A19" s="4" t="s">
        <v>33</v>
      </c>
      <c r="B19" s="5" t="s">
        <v>26</v>
      </c>
      <c r="C19" s="6">
        <v>82</v>
      </c>
      <c r="D19" s="7">
        <v>145</v>
      </c>
      <c r="E19" s="7">
        <v>159</v>
      </c>
      <c r="F19" s="7">
        <v>127</v>
      </c>
      <c r="G19" s="7">
        <v>82</v>
      </c>
      <c r="H19" s="7"/>
      <c r="I19" s="7"/>
      <c r="J19" s="7"/>
      <c r="K19" s="7"/>
      <c r="L19" s="7">
        <f>SUM($C$19:$K$19)</f>
        <v>595</v>
      </c>
      <c r="M19" s="8">
        <v>6.21</v>
      </c>
      <c r="N19" s="9">
        <v>3694.95</v>
      </c>
      <c r="O19" s="8">
        <v>14.99</v>
      </c>
      <c r="P19" s="104" t="s">
        <v>62</v>
      </c>
    </row>
    <row r="20" spans="1:16" ht="10.5" customHeight="1" x14ac:dyDescent="0.25">
      <c r="A20" s="10" t="s">
        <v>34</v>
      </c>
      <c r="B20" s="11"/>
      <c r="C20" s="12"/>
      <c r="D20" s="13"/>
      <c r="E20" s="13"/>
      <c r="F20" s="13"/>
      <c r="G20" s="13"/>
      <c r="H20" s="13"/>
      <c r="I20" s="13"/>
      <c r="J20" s="13"/>
      <c r="K20" s="13"/>
      <c r="L20" s="13">
        <f>SUM($C$20:$K$20)</f>
        <v>0</v>
      </c>
      <c r="M20" s="24"/>
      <c r="N20" s="15"/>
      <c r="O20" s="14"/>
      <c r="P20" s="105"/>
    </row>
    <row r="21" spans="1:16" ht="10.5" customHeight="1" x14ac:dyDescent="0.25">
      <c r="A21" s="10" t="s">
        <v>35</v>
      </c>
      <c r="B21" s="11"/>
      <c r="C21" s="12"/>
      <c r="D21" s="13"/>
      <c r="E21" s="13"/>
      <c r="F21" s="13"/>
      <c r="G21" s="13"/>
      <c r="H21" s="13"/>
      <c r="I21" s="13"/>
      <c r="J21" s="13"/>
      <c r="K21" s="13"/>
      <c r="L21" s="13">
        <f>SUM($C$21:$K$21)</f>
        <v>0</v>
      </c>
      <c r="M21" s="24"/>
      <c r="N21" s="15"/>
      <c r="O21" s="14"/>
      <c r="P21" s="105"/>
    </row>
    <row r="22" spans="1:16" ht="10.5" customHeight="1" thickBot="1" x14ac:dyDescent="0.3">
      <c r="A22" s="10" t="s">
        <v>32</v>
      </c>
      <c r="B22" s="11"/>
      <c r="C22" s="12"/>
      <c r="D22" s="13"/>
      <c r="E22" s="13"/>
      <c r="F22" s="13"/>
      <c r="G22" s="13"/>
      <c r="H22" s="13"/>
      <c r="I22" s="13"/>
      <c r="J22" s="13"/>
      <c r="K22" s="13"/>
      <c r="L22" s="13">
        <f>SUM($C$22:$K$22)</f>
        <v>0</v>
      </c>
      <c r="M22" s="24"/>
      <c r="N22" s="15"/>
      <c r="O22" s="14"/>
      <c r="P22" s="105"/>
    </row>
    <row r="23" spans="1:16" ht="10.5" customHeight="1" thickBot="1" x14ac:dyDescent="0.3">
      <c r="A23" s="16"/>
      <c r="B23" s="17" t="s">
        <v>28</v>
      </c>
      <c r="C23" s="18">
        <f>$C$19+$C$20+$C$21+$C$22</f>
        <v>82</v>
      </c>
      <c r="D23" s="19">
        <f>$D$19+$D$20+$D$21+$D$22</f>
        <v>145</v>
      </c>
      <c r="E23" s="19">
        <f>$E$19+$E$20+$E$21+$E$22</f>
        <v>159</v>
      </c>
      <c r="F23" s="19">
        <f>$F$19+$F$20+$F$21+$F$22</f>
        <v>127</v>
      </c>
      <c r="G23" s="19">
        <f>$G$19+$G$20+$G$21+$G$22</f>
        <v>82</v>
      </c>
      <c r="H23" s="19">
        <f>$H$19+$H$20+$H$21+$H$22</f>
        <v>0</v>
      </c>
      <c r="I23" s="19">
        <f>$I$19+$I$20+$I$21+$I$22</f>
        <v>0</v>
      </c>
      <c r="J23" s="19">
        <f>$J$19+$J$20+$J$21+$J$22</f>
        <v>0</v>
      </c>
      <c r="K23" s="19">
        <f>$K$19+$K$20+$K$21+$K$22</f>
        <v>0</v>
      </c>
      <c r="L23" s="19">
        <f>SUM($C$23:$K$23)</f>
        <v>595</v>
      </c>
      <c r="M23" s="20"/>
      <c r="N23" s="21">
        <f>SUM(N$19:N$22)</f>
        <v>3694.95</v>
      </c>
      <c r="O23" s="22"/>
      <c r="P23" s="106"/>
    </row>
    <row r="24" spans="1:16" ht="10.5" customHeight="1" x14ac:dyDescent="0.25">
      <c r="A24" s="4" t="s">
        <v>36</v>
      </c>
      <c r="B24" s="5" t="s">
        <v>26</v>
      </c>
      <c r="C24" s="6">
        <v>82</v>
      </c>
      <c r="D24" s="7">
        <v>145</v>
      </c>
      <c r="E24" s="7">
        <v>159</v>
      </c>
      <c r="F24" s="7">
        <v>127</v>
      </c>
      <c r="G24" s="7">
        <v>82</v>
      </c>
      <c r="H24" s="7"/>
      <c r="I24" s="7"/>
      <c r="J24" s="7"/>
      <c r="K24" s="7"/>
      <c r="L24" s="7">
        <f>SUM($C$24:$K$24)</f>
        <v>595</v>
      </c>
      <c r="M24" s="8">
        <v>6.21</v>
      </c>
      <c r="N24" s="9">
        <v>3694.95</v>
      </c>
      <c r="O24" s="8">
        <v>14.99</v>
      </c>
      <c r="P24" s="104" t="s">
        <v>62</v>
      </c>
    </row>
    <row r="25" spans="1:16" ht="10.5" customHeight="1" x14ac:dyDescent="0.25">
      <c r="A25" s="10" t="s">
        <v>37</v>
      </c>
      <c r="B25" s="11"/>
      <c r="C25" s="12"/>
      <c r="D25" s="13"/>
      <c r="E25" s="13"/>
      <c r="F25" s="13"/>
      <c r="G25" s="13"/>
      <c r="H25" s="13"/>
      <c r="I25" s="13"/>
      <c r="J25" s="13"/>
      <c r="K25" s="13"/>
      <c r="L25" s="13">
        <f>SUM($C$25:$K$25)</f>
        <v>0</v>
      </c>
      <c r="M25" s="24"/>
      <c r="N25" s="15"/>
      <c r="O25" s="14"/>
      <c r="P25" s="105"/>
    </row>
    <row r="26" spans="1:16" ht="10.5" customHeight="1" x14ac:dyDescent="0.25">
      <c r="A26" s="10" t="s">
        <v>38</v>
      </c>
      <c r="B26" s="11"/>
      <c r="C26" s="12"/>
      <c r="D26" s="13"/>
      <c r="E26" s="13"/>
      <c r="F26" s="13"/>
      <c r="G26" s="13"/>
      <c r="H26" s="13"/>
      <c r="I26" s="13"/>
      <c r="J26" s="13"/>
      <c r="K26" s="13"/>
      <c r="L26" s="13">
        <f>SUM($C$26:$K$26)</f>
        <v>0</v>
      </c>
      <c r="M26" s="24"/>
      <c r="N26" s="15"/>
      <c r="O26" s="14"/>
      <c r="P26" s="105"/>
    </row>
    <row r="27" spans="1:16" ht="10.5" customHeight="1" thickBot="1" x14ac:dyDescent="0.3">
      <c r="A27" s="10" t="s">
        <v>32</v>
      </c>
      <c r="B27" s="11"/>
      <c r="C27" s="12"/>
      <c r="D27" s="13"/>
      <c r="E27" s="13"/>
      <c r="F27" s="13"/>
      <c r="G27" s="13"/>
      <c r="H27" s="13"/>
      <c r="I27" s="13"/>
      <c r="J27" s="13"/>
      <c r="K27" s="13"/>
      <c r="L27" s="13">
        <f>SUM($C$27:$K$27)</f>
        <v>0</v>
      </c>
      <c r="M27" s="24"/>
      <c r="N27" s="15"/>
      <c r="O27" s="14"/>
      <c r="P27" s="105"/>
    </row>
    <row r="28" spans="1:16" ht="10.5" customHeight="1" thickBot="1" x14ac:dyDescent="0.3">
      <c r="A28" s="16"/>
      <c r="B28" s="17" t="s">
        <v>28</v>
      </c>
      <c r="C28" s="18">
        <f>$C$24+$C$25+$C$26+$C$27</f>
        <v>82</v>
      </c>
      <c r="D28" s="19">
        <f>$D$24+$D$25+$D$26+$D$27</f>
        <v>145</v>
      </c>
      <c r="E28" s="19">
        <f>$E$24+$E$25+$E$26+$E$27</f>
        <v>159</v>
      </c>
      <c r="F28" s="19">
        <f>$F$24+$F$25+$F$26+$F$27</f>
        <v>127</v>
      </c>
      <c r="G28" s="19">
        <f>$G$24+$G$25+$G$26+$G$27</f>
        <v>82</v>
      </c>
      <c r="H28" s="19">
        <f>$H$24+$H$25+$H$26+$H$27</f>
        <v>0</v>
      </c>
      <c r="I28" s="19">
        <f>$I$24+$I$25+$I$26+$I$27</f>
        <v>0</v>
      </c>
      <c r="J28" s="19">
        <f>$J$24+$J$25+$J$26+$J$27</f>
        <v>0</v>
      </c>
      <c r="K28" s="19">
        <f>$K$24+$K$25+$K$26+$K$27</f>
        <v>0</v>
      </c>
      <c r="L28" s="19">
        <f>SUM($C$28:$K$28)</f>
        <v>595</v>
      </c>
      <c r="M28" s="20"/>
      <c r="N28" s="21">
        <f>SUM(N$24:N$27)</f>
        <v>3694.95</v>
      </c>
      <c r="O28" s="22"/>
      <c r="P28" s="106"/>
    </row>
    <row r="29" spans="1:16" ht="10.5" customHeight="1" x14ac:dyDescent="0.25">
      <c r="A29" s="4" t="s">
        <v>39</v>
      </c>
      <c r="B29" s="5" t="s">
        <v>26</v>
      </c>
      <c r="C29" s="6">
        <v>82</v>
      </c>
      <c r="D29" s="7">
        <v>145</v>
      </c>
      <c r="E29" s="7">
        <v>159</v>
      </c>
      <c r="F29" s="7">
        <v>127</v>
      </c>
      <c r="G29" s="7">
        <v>82</v>
      </c>
      <c r="H29" s="7"/>
      <c r="I29" s="7"/>
      <c r="J29" s="7"/>
      <c r="K29" s="7"/>
      <c r="L29" s="7">
        <f>SUM($C$29:$K$29)</f>
        <v>595</v>
      </c>
      <c r="M29" s="8">
        <v>6.21</v>
      </c>
      <c r="N29" s="9">
        <v>3694.95</v>
      </c>
      <c r="O29" s="8">
        <v>14.99</v>
      </c>
      <c r="P29" s="104" t="s">
        <v>62</v>
      </c>
    </row>
    <row r="30" spans="1:16" ht="10.5" customHeight="1" x14ac:dyDescent="0.25">
      <c r="A30" s="10" t="s">
        <v>40</v>
      </c>
      <c r="B30" s="11"/>
      <c r="C30" s="12"/>
      <c r="D30" s="13"/>
      <c r="E30" s="13"/>
      <c r="F30" s="13"/>
      <c r="G30" s="13"/>
      <c r="H30" s="13"/>
      <c r="I30" s="13"/>
      <c r="J30" s="13"/>
      <c r="K30" s="13"/>
      <c r="L30" s="13">
        <f>SUM($C$30:$K$30)</f>
        <v>0</v>
      </c>
      <c r="M30" s="24"/>
      <c r="N30" s="15"/>
      <c r="O30" s="14"/>
      <c r="P30" s="105"/>
    </row>
    <row r="31" spans="1:16" ht="10.5" customHeight="1" x14ac:dyDescent="0.25">
      <c r="A31" s="10" t="s">
        <v>41</v>
      </c>
      <c r="B31" s="11"/>
      <c r="C31" s="12"/>
      <c r="D31" s="13"/>
      <c r="E31" s="13"/>
      <c r="F31" s="13"/>
      <c r="G31" s="13"/>
      <c r="H31" s="13"/>
      <c r="I31" s="13"/>
      <c r="J31" s="13"/>
      <c r="K31" s="13"/>
      <c r="L31" s="13">
        <f>SUM($C$31:$K$31)</f>
        <v>0</v>
      </c>
      <c r="M31" s="24"/>
      <c r="N31" s="15"/>
      <c r="O31" s="14"/>
      <c r="P31" s="105"/>
    </row>
    <row r="32" spans="1:16" ht="10.5" customHeight="1" thickBot="1" x14ac:dyDescent="0.3">
      <c r="A32" s="10" t="s">
        <v>32</v>
      </c>
      <c r="B32" s="11"/>
      <c r="C32" s="12"/>
      <c r="D32" s="13"/>
      <c r="E32" s="13"/>
      <c r="F32" s="13"/>
      <c r="G32" s="13"/>
      <c r="H32" s="13"/>
      <c r="I32" s="13"/>
      <c r="J32" s="13"/>
      <c r="K32" s="13"/>
      <c r="L32" s="13">
        <f>SUM($C$32:$K$32)</f>
        <v>0</v>
      </c>
      <c r="M32" s="24"/>
      <c r="N32" s="15"/>
      <c r="O32" s="14"/>
      <c r="P32" s="105"/>
    </row>
    <row r="33" spans="1:16" ht="10.5" customHeight="1" thickBot="1" x14ac:dyDescent="0.3">
      <c r="A33" s="16"/>
      <c r="B33" s="17" t="s">
        <v>28</v>
      </c>
      <c r="C33" s="18">
        <f>$C$29+$C$30+$C$31+$C$32</f>
        <v>82</v>
      </c>
      <c r="D33" s="19">
        <f>$D$29+$D$30+$D$31+$D$32</f>
        <v>145</v>
      </c>
      <c r="E33" s="19">
        <f>$E$29+$E$30+$E$31+$E$32</f>
        <v>159</v>
      </c>
      <c r="F33" s="19">
        <f>$F$29+$F$30+$F$31+$F$32</f>
        <v>127</v>
      </c>
      <c r="G33" s="19">
        <f>$G$29+$G$30+$G$31+$G$32</f>
        <v>82</v>
      </c>
      <c r="H33" s="19">
        <f>$H$29+$H$30+$H$31+$H$32</f>
        <v>0</v>
      </c>
      <c r="I33" s="19">
        <f>$I$29+$I$30+$I$31+$I$32</f>
        <v>0</v>
      </c>
      <c r="J33" s="19">
        <f>$J$29+$J$30+$J$31+$J$32</f>
        <v>0</v>
      </c>
      <c r="K33" s="19">
        <f>$K$29+$K$30+$K$31+$K$32</f>
        <v>0</v>
      </c>
      <c r="L33" s="19">
        <f>SUM($C$33:$K$33)</f>
        <v>595</v>
      </c>
      <c r="M33" s="20"/>
      <c r="N33" s="21">
        <f>SUM(N$29:N$32)</f>
        <v>3694.95</v>
      </c>
      <c r="O33" s="22"/>
      <c r="P33" s="106"/>
    </row>
    <row r="34" spans="1:16" ht="10.5" customHeight="1" x14ac:dyDescent="0.25">
      <c r="A34" s="4" t="s">
        <v>42</v>
      </c>
      <c r="B34" s="5" t="s">
        <v>26</v>
      </c>
      <c r="C34" s="6">
        <v>82</v>
      </c>
      <c r="D34" s="7">
        <v>145</v>
      </c>
      <c r="E34" s="7">
        <v>159</v>
      </c>
      <c r="F34" s="7">
        <v>127</v>
      </c>
      <c r="G34" s="7">
        <v>82</v>
      </c>
      <c r="H34" s="7"/>
      <c r="I34" s="7"/>
      <c r="J34" s="7"/>
      <c r="K34" s="7"/>
      <c r="L34" s="7">
        <f>SUM($C$34:$K$34)</f>
        <v>595</v>
      </c>
      <c r="M34" s="8">
        <v>6.21</v>
      </c>
      <c r="N34" s="9">
        <v>3694.95</v>
      </c>
      <c r="O34" s="8">
        <v>14.99</v>
      </c>
      <c r="P34" s="104" t="s">
        <v>62</v>
      </c>
    </row>
    <row r="35" spans="1:16" ht="10.5" customHeight="1" x14ac:dyDescent="0.25">
      <c r="A35" s="10" t="s">
        <v>43</v>
      </c>
      <c r="B35" s="11"/>
      <c r="C35" s="12"/>
      <c r="D35" s="13"/>
      <c r="E35" s="13"/>
      <c r="F35" s="13"/>
      <c r="G35" s="13"/>
      <c r="H35" s="13"/>
      <c r="I35" s="13"/>
      <c r="J35" s="13"/>
      <c r="K35" s="13"/>
      <c r="L35" s="13">
        <f>SUM($C$35:$K$35)</f>
        <v>0</v>
      </c>
      <c r="M35" s="24"/>
      <c r="N35" s="15"/>
      <c r="O35" s="14"/>
      <c r="P35" s="105"/>
    </row>
    <row r="36" spans="1:16" ht="10.5" customHeight="1" x14ac:dyDescent="0.25">
      <c r="A36" s="10" t="s">
        <v>44</v>
      </c>
      <c r="B36" s="11"/>
      <c r="C36" s="12"/>
      <c r="D36" s="13"/>
      <c r="E36" s="13"/>
      <c r="F36" s="13"/>
      <c r="G36" s="13"/>
      <c r="H36" s="13"/>
      <c r="I36" s="13"/>
      <c r="J36" s="13"/>
      <c r="K36" s="13"/>
      <c r="L36" s="13">
        <f>SUM($C$36:$K$36)</f>
        <v>0</v>
      </c>
      <c r="M36" s="24"/>
      <c r="N36" s="15"/>
      <c r="O36" s="14"/>
      <c r="P36" s="105"/>
    </row>
    <row r="37" spans="1:16" ht="10.5" customHeight="1" thickBot="1" x14ac:dyDescent="0.3">
      <c r="A37" s="10" t="s">
        <v>32</v>
      </c>
      <c r="B37" s="11"/>
      <c r="C37" s="12"/>
      <c r="D37" s="13"/>
      <c r="E37" s="13"/>
      <c r="F37" s="13"/>
      <c r="G37" s="13"/>
      <c r="H37" s="13"/>
      <c r="I37" s="13"/>
      <c r="J37" s="13"/>
      <c r="K37" s="13"/>
      <c r="L37" s="13">
        <f>SUM($C$37:$K$37)</f>
        <v>0</v>
      </c>
      <c r="M37" s="24"/>
      <c r="N37" s="15"/>
      <c r="O37" s="14"/>
      <c r="P37" s="105"/>
    </row>
    <row r="38" spans="1:16" ht="10.5" customHeight="1" thickBot="1" x14ac:dyDescent="0.3">
      <c r="A38" s="16"/>
      <c r="B38" s="17" t="s">
        <v>28</v>
      </c>
      <c r="C38" s="18">
        <f>$C$34+$C$35+$C$36+$C$37</f>
        <v>82</v>
      </c>
      <c r="D38" s="19">
        <f>$D$34+$D$35+$D$36+$D$37</f>
        <v>145</v>
      </c>
      <c r="E38" s="19">
        <f>$E$34+$E$35+$E$36+$E$37</f>
        <v>159</v>
      </c>
      <c r="F38" s="19">
        <f>$F$34+$F$35+$F$36+$F$37</f>
        <v>127</v>
      </c>
      <c r="G38" s="19">
        <f>$G$34+$G$35+$G$36+$G$37</f>
        <v>82</v>
      </c>
      <c r="H38" s="19">
        <f>$H$34+$H$35+$H$36+$H$37</f>
        <v>0</v>
      </c>
      <c r="I38" s="19">
        <f>$I$34+$I$35+$I$36+$I$37</f>
        <v>0</v>
      </c>
      <c r="J38" s="19">
        <f>$J$34+$J$35+$J$36+$J$37</f>
        <v>0</v>
      </c>
      <c r="K38" s="19">
        <f>$K$34+$K$35+$K$36+$K$37</f>
        <v>0</v>
      </c>
      <c r="L38" s="19">
        <f>SUM($C$38:$K$38)</f>
        <v>595</v>
      </c>
      <c r="M38" s="20"/>
      <c r="N38" s="21">
        <f>SUM(N$34:N$37)</f>
        <v>3694.95</v>
      </c>
      <c r="O38" s="22"/>
      <c r="P38" s="106"/>
    </row>
    <row r="39" spans="1:16" ht="10.5" customHeight="1" x14ac:dyDescent="0.25">
      <c r="A39" s="4" t="s">
        <v>45</v>
      </c>
      <c r="B39" s="5" t="s">
        <v>26</v>
      </c>
      <c r="C39" s="6">
        <v>82</v>
      </c>
      <c r="D39" s="7">
        <v>145</v>
      </c>
      <c r="E39" s="7">
        <v>159</v>
      </c>
      <c r="F39" s="7">
        <v>127</v>
      </c>
      <c r="G39" s="7">
        <v>82</v>
      </c>
      <c r="H39" s="7"/>
      <c r="I39" s="7"/>
      <c r="J39" s="7"/>
      <c r="K39" s="7"/>
      <c r="L39" s="7">
        <f>SUM($C$39:$K$39)</f>
        <v>595</v>
      </c>
      <c r="M39" s="8">
        <v>6.21</v>
      </c>
      <c r="N39" s="9">
        <v>3694.95</v>
      </c>
      <c r="O39" s="8">
        <v>14.99</v>
      </c>
      <c r="P39" s="104" t="s">
        <v>62</v>
      </c>
    </row>
    <row r="40" spans="1:16" ht="10.5" customHeight="1" x14ac:dyDescent="0.25">
      <c r="A40" s="10" t="s">
        <v>46</v>
      </c>
      <c r="B40" s="11"/>
      <c r="C40" s="12"/>
      <c r="D40" s="13"/>
      <c r="E40" s="13"/>
      <c r="F40" s="13"/>
      <c r="G40" s="13"/>
      <c r="H40" s="13"/>
      <c r="I40" s="13"/>
      <c r="J40" s="13"/>
      <c r="K40" s="13"/>
      <c r="L40" s="13">
        <f>SUM($C$40:$K$40)</f>
        <v>0</v>
      </c>
      <c r="M40" s="24"/>
      <c r="N40" s="15"/>
      <c r="O40" s="14"/>
      <c r="P40" s="105"/>
    </row>
    <row r="41" spans="1:16" ht="10.5" customHeight="1" x14ac:dyDescent="0.25">
      <c r="A41" s="10" t="s">
        <v>47</v>
      </c>
      <c r="B41" s="11"/>
      <c r="C41" s="12"/>
      <c r="D41" s="13"/>
      <c r="E41" s="13"/>
      <c r="F41" s="13"/>
      <c r="G41" s="13"/>
      <c r="H41" s="13"/>
      <c r="I41" s="13"/>
      <c r="J41" s="13"/>
      <c r="K41" s="13"/>
      <c r="L41" s="13">
        <f>SUM($C$41:$K$41)</f>
        <v>0</v>
      </c>
      <c r="M41" s="24"/>
      <c r="N41" s="15"/>
      <c r="O41" s="14"/>
      <c r="P41" s="105"/>
    </row>
    <row r="42" spans="1:16" ht="10.5" customHeight="1" thickBot="1" x14ac:dyDescent="0.3">
      <c r="A42" s="10" t="s">
        <v>32</v>
      </c>
      <c r="B42" s="11"/>
      <c r="C42" s="12"/>
      <c r="D42" s="13"/>
      <c r="E42" s="13"/>
      <c r="F42" s="13"/>
      <c r="G42" s="13"/>
      <c r="H42" s="13"/>
      <c r="I42" s="13"/>
      <c r="J42" s="13"/>
      <c r="K42" s="13"/>
      <c r="L42" s="13">
        <f>SUM($C$42:$K$42)</f>
        <v>0</v>
      </c>
      <c r="M42" s="24"/>
      <c r="N42" s="15"/>
      <c r="O42" s="14"/>
      <c r="P42" s="105"/>
    </row>
    <row r="43" spans="1:16" ht="10.5" customHeight="1" thickBot="1" x14ac:dyDescent="0.3">
      <c r="A43" s="16"/>
      <c r="B43" s="17" t="s">
        <v>28</v>
      </c>
      <c r="C43" s="18">
        <f>$C$39+$C$40+$C$41+$C$42</f>
        <v>82</v>
      </c>
      <c r="D43" s="19">
        <f>$D$39+$D$40+$D$41+$D$42</f>
        <v>145</v>
      </c>
      <c r="E43" s="19">
        <f>$E$39+$E$40+$E$41+$E$42</f>
        <v>159</v>
      </c>
      <c r="F43" s="19">
        <f>$F$39+$F$40+$F$41+$F$42</f>
        <v>127</v>
      </c>
      <c r="G43" s="19">
        <f>$G$39+$G$40+$G$41+$G$42</f>
        <v>82</v>
      </c>
      <c r="H43" s="19">
        <f>$H$39+$H$40+$H$41+$H$42</f>
        <v>0</v>
      </c>
      <c r="I43" s="19">
        <f>$I$39+$I$40+$I$41+$I$42</f>
        <v>0</v>
      </c>
      <c r="J43" s="19">
        <f>$J$39+$J$40+$J$41+$J$42</f>
        <v>0</v>
      </c>
      <c r="K43" s="19">
        <f>$K$39+$K$40+$K$41+$K$42</f>
        <v>0</v>
      </c>
      <c r="L43" s="19">
        <f>SUM($C$43:$K$43)</f>
        <v>595</v>
      </c>
      <c r="M43" s="20"/>
      <c r="N43" s="21">
        <f>SUM(N$39:N$42)</f>
        <v>3694.95</v>
      </c>
      <c r="O43" s="22"/>
      <c r="P43" s="106"/>
    </row>
    <row r="44" spans="1:16" ht="10.5" customHeight="1" x14ac:dyDescent="0.25">
      <c r="A44" s="4" t="s">
        <v>48</v>
      </c>
      <c r="B44" s="5" t="s">
        <v>26</v>
      </c>
      <c r="C44" s="6">
        <v>82</v>
      </c>
      <c r="D44" s="7">
        <v>145</v>
      </c>
      <c r="E44" s="7">
        <v>159</v>
      </c>
      <c r="F44" s="7">
        <v>127</v>
      </c>
      <c r="G44" s="7">
        <v>82</v>
      </c>
      <c r="H44" s="7"/>
      <c r="I44" s="7"/>
      <c r="J44" s="7"/>
      <c r="K44" s="7"/>
      <c r="L44" s="7">
        <f>SUM($C$44:$K$44)</f>
        <v>595</v>
      </c>
      <c r="M44" s="8">
        <v>6.21</v>
      </c>
      <c r="N44" s="9">
        <v>3694.95</v>
      </c>
      <c r="O44" s="8">
        <v>14.99</v>
      </c>
      <c r="P44" s="104" t="s">
        <v>62</v>
      </c>
    </row>
    <row r="45" spans="1:16" ht="10.5" customHeight="1" x14ac:dyDescent="0.25">
      <c r="A45" s="10" t="s">
        <v>49</v>
      </c>
      <c r="B45" s="11"/>
      <c r="C45" s="12"/>
      <c r="D45" s="13"/>
      <c r="E45" s="13"/>
      <c r="F45" s="13"/>
      <c r="G45" s="13"/>
      <c r="H45" s="13"/>
      <c r="I45" s="13"/>
      <c r="J45" s="13"/>
      <c r="K45" s="13"/>
      <c r="L45" s="13">
        <f>SUM($C$45:$K$45)</f>
        <v>0</v>
      </c>
      <c r="M45" s="24"/>
      <c r="N45" s="15"/>
      <c r="O45" s="14"/>
      <c r="P45" s="105"/>
    </row>
    <row r="46" spans="1:16" ht="10.5" customHeight="1" x14ac:dyDescent="0.25">
      <c r="A46" s="10" t="s">
        <v>50</v>
      </c>
      <c r="B46" s="11"/>
      <c r="C46" s="12"/>
      <c r="D46" s="13"/>
      <c r="E46" s="13"/>
      <c r="F46" s="13"/>
      <c r="G46" s="13"/>
      <c r="H46" s="13"/>
      <c r="I46" s="13"/>
      <c r="J46" s="13"/>
      <c r="K46" s="13"/>
      <c r="L46" s="13">
        <f>SUM($C$46:$K$46)</f>
        <v>0</v>
      </c>
      <c r="M46" s="24"/>
      <c r="N46" s="15"/>
      <c r="O46" s="14"/>
      <c r="P46" s="105"/>
    </row>
    <row r="47" spans="1:16" ht="10.5" customHeight="1" thickBot="1" x14ac:dyDescent="0.3">
      <c r="A47" s="10" t="s">
        <v>32</v>
      </c>
      <c r="B47" s="11"/>
      <c r="C47" s="12"/>
      <c r="D47" s="13"/>
      <c r="E47" s="13"/>
      <c r="F47" s="13"/>
      <c r="G47" s="13"/>
      <c r="H47" s="13"/>
      <c r="I47" s="13"/>
      <c r="J47" s="13"/>
      <c r="K47" s="13"/>
      <c r="L47" s="13">
        <f>SUM($C$47:$K$47)</f>
        <v>0</v>
      </c>
      <c r="M47" s="24"/>
      <c r="N47" s="15"/>
      <c r="O47" s="14"/>
      <c r="P47" s="105"/>
    </row>
    <row r="48" spans="1:16" ht="10.5" customHeight="1" thickBot="1" x14ac:dyDescent="0.3">
      <c r="A48" s="16"/>
      <c r="B48" s="17" t="s">
        <v>28</v>
      </c>
      <c r="C48" s="18">
        <f>$C$44+$C$45+$C$46+$C$47</f>
        <v>82</v>
      </c>
      <c r="D48" s="19">
        <f>$D$44+$D$45+$D$46+$D$47</f>
        <v>145</v>
      </c>
      <c r="E48" s="19">
        <f>$E$44+$E$45+$E$46+$E$47</f>
        <v>159</v>
      </c>
      <c r="F48" s="19">
        <f>$F$44+$F$45+$F$46+$F$47</f>
        <v>127</v>
      </c>
      <c r="G48" s="19">
        <f>$G$44+$G$45+$G$46+$G$47</f>
        <v>82</v>
      </c>
      <c r="H48" s="19">
        <f>$H$44+$H$45+$H$46+$H$47</f>
        <v>0</v>
      </c>
      <c r="I48" s="19">
        <f>$I$44+$I$45+$I$46+$I$47</f>
        <v>0</v>
      </c>
      <c r="J48" s="19">
        <f>$J$44+$J$45+$J$46+$J$47</f>
        <v>0</v>
      </c>
      <c r="K48" s="19">
        <f>$K$44+$K$45+$K$46+$K$47</f>
        <v>0</v>
      </c>
      <c r="L48" s="19">
        <f>SUM($C$48:$K$48)</f>
        <v>595</v>
      </c>
      <c r="M48" s="20"/>
      <c r="N48" s="21">
        <f>SUM(N$44:N$47)</f>
        <v>3694.95</v>
      </c>
      <c r="O48" s="22"/>
      <c r="P48" s="106"/>
    </row>
    <row r="49" spans="1:16" ht="10.5" customHeight="1" x14ac:dyDescent="0.25">
      <c r="A49" s="4" t="s">
        <v>51</v>
      </c>
      <c r="B49" s="5" t="s">
        <v>26</v>
      </c>
      <c r="C49" s="6">
        <v>82</v>
      </c>
      <c r="D49" s="7">
        <v>145</v>
      </c>
      <c r="E49" s="7">
        <v>159</v>
      </c>
      <c r="F49" s="7">
        <v>127</v>
      </c>
      <c r="G49" s="7">
        <v>82</v>
      </c>
      <c r="H49" s="7"/>
      <c r="I49" s="7"/>
      <c r="J49" s="7"/>
      <c r="K49" s="7"/>
      <c r="L49" s="7">
        <f>SUM($C$49:$K$49)</f>
        <v>595</v>
      </c>
      <c r="M49" s="8">
        <v>6.21</v>
      </c>
      <c r="N49" s="9">
        <v>3694.95</v>
      </c>
      <c r="O49" s="8">
        <v>14.99</v>
      </c>
      <c r="P49" s="104" t="s">
        <v>62</v>
      </c>
    </row>
    <row r="50" spans="1:16" ht="10.5" customHeight="1" x14ac:dyDescent="0.25">
      <c r="A50" s="10" t="s">
        <v>52</v>
      </c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>
        <f>SUM($C$50:$K$50)</f>
        <v>0</v>
      </c>
      <c r="M50" s="24"/>
      <c r="N50" s="15"/>
      <c r="O50" s="14"/>
      <c r="P50" s="105"/>
    </row>
    <row r="51" spans="1:16" ht="10.5" customHeight="1" x14ac:dyDescent="0.25">
      <c r="A51" s="10" t="s">
        <v>53</v>
      </c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>
        <f>SUM($C$51:$K$51)</f>
        <v>0</v>
      </c>
      <c r="M51" s="24"/>
      <c r="N51" s="15"/>
      <c r="O51" s="14"/>
      <c r="P51" s="105"/>
    </row>
    <row r="52" spans="1:16" ht="10.5" customHeight="1" thickBot="1" x14ac:dyDescent="0.3">
      <c r="A52" s="10" t="s">
        <v>32</v>
      </c>
      <c r="B52" s="11"/>
      <c r="C52" s="12"/>
      <c r="D52" s="13"/>
      <c r="E52" s="13"/>
      <c r="F52" s="13"/>
      <c r="G52" s="13"/>
      <c r="H52" s="13"/>
      <c r="I52" s="13"/>
      <c r="J52" s="13"/>
      <c r="K52" s="13"/>
      <c r="L52" s="13">
        <f>SUM($C$52:$K$52)</f>
        <v>0</v>
      </c>
      <c r="M52" s="24"/>
      <c r="N52" s="15"/>
      <c r="O52" s="14"/>
      <c r="P52" s="105"/>
    </row>
    <row r="53" spans="1:16" ht="10.5" customHeight="1" thickBot="1" x14ac:dyDescent="0.3">
      <c r="A53" s="16"/>
      <c r="B53" s="17" t="s">
        <v>28</v>
      </c>
      <c r="C53" s="18">
        <f>$C$49+$C$50+$C$51+$C$52</f>
        <v>82</v>
      </c>
      <c r="D53" s="19">
        <f>$D$49+$D$50+$D$51+$D$52</f>
        <v>145</v>
      </c>
      <c r="E53" s="19">
        <f>$E$49+$E$50+$E$51+$E$52</f>
        <v>159</v>
      </c>
      <c r="F53" s="19">
        <f>$F$49+$F$50+$F$51+$F$52</f>
        <v>127</v>
      </c>
      <c r="G53" s="19">
        <f>$G$49+$G$50+$G$51+$G$52</f>
        <v>82</v>
      </c>
      <c r="H53" s="19">
        <f>$H$49+$H$50+$H$51+$H$52</f>
        <v>0</v>
      </c>
      <c r="I53" s="19">
        <f>$I$49+$I$50+$I$51+$I$52</f>
        <v>0</v>
      </c>
      <c r="J53" s="19">
        <f>$J$49+$J$50+$J$51+$J$52</f>
        <v>0</v>
      </c>
      <c r="K53" s="19">
        <f>$K$49+$K$50+$K$51+$K$52</f>
        <v>0</v>
      </c>
      <c r="L53" s="19">
        <f>SUM($C$53:$K$53)</f>
        <v>595</v>
      </c>
      <c r="M53" s="20"/>
      <c r="N53" s="21">
        <f>SUM(N$49:N$52)</f>
        <v>3694.95</v>
      </c>
      <c r="O53" s="22"/>
      <c r="P53" s="106"/>
    </row>
    <row r="54" spans="1:16" ht="10.5" customHeight="1" x14ac:dyDescent="0.25">
      <c r="A54" s="4" t="s">
        <v>54</v>
      </c>
      <c r="B54" s="5" t="s">
        <v>26</v>
      </c>
      <c r="C54" s="6">
        <v>74</v>
      </c>
      <c r="D54" s="7">
        <v>130</v>
      </c>
      <c r="E54" s="7">
        <v>143</v>
      </c>
      <c r="F54" s="7">
        <v>115</v>
      </c>
      <c r="G54" s="7">
        <v>74</v>
      </c>
      <c r="H54" s="7"/>
      <c r="I54" s="7"/>
      <c r="J54" s="7"/>
      <c r="K54" s="7"/>
      <c r="L54" s="7">
        <f>SUM($C$54:$K$54)</f>
        <v>536</v>
      </c>
      <c r="M54" s="8">
        <v>6.21</v>
      </c>
      <c r="N54" s="9">
        <v>3328.56</v>
      </c>
      <c r="O54" s="8">
        <v>14.99</v>
      </c>
      <c r="P54" s="104" t="s">
        <v>62</v>
      </c>
    </row>
    <row r="55" spans="1:16" ht="10.5" customHeight="1" x14ac:dyDescent="0.25">
      <c r="A55" s="10" t="s">
        <v>55</v>
      </c>
      <c r="B55" s="11"/>
      <c r="C55" s="12"/>
      <c r="D55" s="13"/>
      <c r="E55" s="13"/>
      <c r="F55" s="13"/>
      <c r="G55" s="13"/>
      <c r="H55" s="13"/>
      <c r="I55" s="13"/>
      <c r="J55" s="13"/>
      <c r="K55" s="13"/>
      <c r="L55" s="13">
        <f>SUM($C$55:$K$55)</f>
        <v>0</v>
      </c>
      <c r="M55" s="24"/>
      <c r="N55" s="15"/>
      <c r="O55" s="14"/>
      <c r="P55" s="105"/>
    </row>
    <row r="56" spans="1:16" ht="10.5" customHeight="1" x14ac:dyDescent="0.25">
      <c r="A56" s="10" t="s">
        <v>56</v>
      </c>
      <c r="B56" s="11"/>
      <c r="C56" s="12"/>
      <c r="D56" s="13"/>
      <c r="E56" s="13"/>
      <c r="F56" s="13"/>
      <c r="G56" s="13"/>
      <c r="H56" s="13"/>
      <c r="I56" s="13"/>
      <c r="J56" s="13"/>
      <c r="K56" s="13"/>
      <c r="L56" s="13">
        <f>SUM($C$56:$K$56)</f>
        <v>0</v>
      </c>
      <c r="M56" s="24"/>
      <c r="N56" s="15"/>
      <c r="O56" s="14"/>
      <c r="P56" s="105"/>
    </row>
    <row r="57" spans="1:16" ht="10.5" customHeight="1" thickBot="1" x14ac:dyDescent="0.3">
      <c r="A57" s="10" t="s">
        <v>32</v>
      </c>
      <c r="B57" s="11"/>
      <c r="C57" s="12"/>
      <c r="D57" s="13"/>
      <c r="E57" s="13"/>
      <c r="F57" s="13"/>
      <c r="G57" s="13"/>
      <c r="H57" s="13"/>
      <c r="I57" s="13"/>
      <c r="J57" s="13"/>
      <c r="K57" s="13"/>
      <c r="L57" s="13">
        <f>SUM($C$57:$K$57)</f>
        <v>0</v>
      </c>
      <c r="M57" s="24"/>
      <c r="N57" s="15"/>
      <c r="O57" s="14"/>
      <c r="P57" s="105"/>
    </row>
    <row r="58" spans="1:16" ht="10.5" customHeight="1" thickBot="1" x14ac:dyDescent="0.3">
      <c r="A58" s="16"/>
      <c r="B58" s="17" t="s">
        <v>28</v>
      </c>
      <c r="C58" s="18">
        <f>$C$54+$C$55+$C$56+$C$57</f>
        <v>74</v>
      </c>
      <c r="D58" s="19">
        <f>$D$54+$D$55+$D$56+$D$57</f>
        <v>130</v>
      </c>
      <c r="E58" s="19">
        <f>$E$54+$E$55+$E$56+$E$57</f>
        <v>143</v>
      </c>
      <c r="F58" s="19">
        <f>$F$54+$F$55+$F$56+$F$57</f>
        <v>115</v>
      </c>
      <c r="G58" s="19">
        <f>$G$54+$G$55+$G$56+$G$57</f>
        <v>74</v>
      </c>
      <c r="H58" s="19">
        <f>$H$54+$H$55+$H$56+$H$57</f>
        <v>0</v>
      </c>
      <c r="I58" s="19">
        <f>$I$54+$I$55+$I$56+$I$57</f>
        <v>0</v>
      </c>
      <c r="J58" s="19">
        <f>$J$54+$J$55+$J$56+$J$57</f>
        <v>0</v>
      </c>
      <c r="K58" s="19">
        <f>$K$54+$K$55+$K$56+$K$57</f>
        <v>0</v>
      </c>
      <c r="L58" s="19">
        <f>SUM($C$58:$K$58)</f>
        <v>536</v>
      </c>
      <c r="M58" s="20"/>
      <c r="N58" s="21">
        <f>SUM(N$54:N$57)</f>
        <v>3328.56</v>
      </c>
      <c r="O58" s="22"/>
      <c r="P58" s="106"/>
    </row>
    <row r="59" spans="1:16" ht="10.5" customHeight="1" thickBot="1" x14ac:dyDescent="0.3">
      <c r="A59" s="26" t="s">
        <v>57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ht="10.5" customHeight="1" thickBot="1" x14ac:dyDescent="0.3">
      <c r="A60" s="27" t="s">
        <v>58</v>
      </c>
      <c r="B60" s="28" t="s">
        <v>6</v>
      </c>
      <c r="C60" s="28" t="s">
        <v>13</v>
      </c>
      <c r="D60" s="29" t="s">
        <v>14</v>
      </c>
      <c r="E60" s="29" t="s">
        <v>15</v>
      </c>
      <c r="F60" s="29" t="s">
        <v>16</v>
      </c>
      <c r="G60" s="29" t="s">
        <v>17</v>
      </c>
      <c r="H60" s="29" t="s">
        <v>18</v>
      </c>
      <c r="I60" s="29" t="s">
        <v>19</v>
      </c>
      <c r="J60" s="29" t="s">
        <v>20</v>
      </c>
      <c r="K60" s="29" t="s">
        <v>21</v>
      </c>
      <c r="L60" s="29" t="s">
        <v>8</v>
      </c>
      <c r="M60" s="29" t="s">
        <v>9</v>
      </c>
      <c r="N60" s="28" t="s">
        <v>10</v>
      </c>
      <c r="O60" s="28" t="s">
        <v>11</v>
      </c>
      <c r="P60" s="28" t="s">
        <v>12</v>
      </c>
    </row>
    <row r="61" spans="1:16" ht="10.5" customHeight="1" x14ac:dyDescent="0.25">
      <c r="A61" s="98"/>
      <c r="B61" s="5" t="s">
        <v>23</v>
      </c>
      <c r="C61" s="6">
        <v>130</v>
      </c>
      <c r="D61" s="7">
        <v>270</v>
      </c>
      <c r="E61" s="7">
        <v>280</v>
      </c>
      <c r="F61" s="7">
        <v>180</v>
      </c>
      <c r="G61" s="7">
        <v>90</v>
      </c>
      <c r="H61" s="7">
        <v>40</v>
      </c>
      <c r="I61" s="7">
        <v>40</v>
      </c>
      <c r="J61" s="7">
        <v>40</v>
      </c>
      <c r="K61" s="7">
        <v>40</v>
      </c>
      <c r="L61" s="7">
        <f>SUM($C$61:$K$61)</f>
        <v>1110</v>
      </c>
      <c r="M61" s="8">
        <v>6.3441000000000001</v>
      </c>
      <c r="N61" s="9">
        <v>7041.9</v>
      </c>
      <c r="O61" s="8"/>
      <c r="P61" s="30"/>
    </row>
    <row r="62" spans="1:16" ht="10.5" customHeight="1" x14ac:dyDescent="0.25">
      <c r="A62" s="99"/>
      <c r="B62" s="11" t="s">
        <v>26</v>
      </c>
      <c r="C62" s="12">
        <v>821</v>
      </c>
      <c r="D62" s="13">
        <v>1449</v>
      </c>
      <c r="E62" s="13">
        <v>1591</v>
      </c>
      <c r="F62" s="13">
        <v>1272</v>
      </c>
      <c r="G62" s="13">
        <v>820</v>
      </c>
      <c r="H62" s="13">
        <v>50</v>
      </c>
      <c r="I62" s="13">
        <v>50</v>
      </c>
      <c r="J62" s="13">
        <v>50</v>
      </c>
      <c r="K62" s="13">
        <v>50</v>
      </c>
      <c r="L62" s="13">
        <f>SUM($C$62:$K$62)</f>
        <v>6153</v>
      </c>
      <c r="M62" s="14">
        <v>6.2401999999999997</v>
      </c>
      <c r="N62" s="15">
        <v>38396.129999999997</v>
      </c>
      <c r="O62" s="14"/>
      <c r="P62" s="25"/>
    </row>
    <row r="63" spans="1:16" ht="10.5" customHeight="1" x14ac:dyDescent="0.25">
      <c r="A63" s="99"/>
      <c r="B63" s="11"/>
      <c r="C63" s="12"/>
      <c r="D63" s="13"/>
      <c r="E63" s="13"/>
      <c r="F63" s="13"/>
      <c r="G63" s="13"/>
      <c r="H63" s="13"/>
      <c r="I63" s="13"/>
      <c r="J63" s="13"/>
      <c r="K63" s="13"/>
      <c r="L63" s="13">
        <f>SUM($C$63:$K$63)</f>
        <v>0</v>
      </c>
      <c r="M63" s="14"/>
      <c r="N63" s="15"/>
      <c r="O63" s="14"/>
      <c r="P63" s="25"/>
    </row>
    <row r="64" spans="1:16" ht="10.5" customHeight="1" thickBot="1" x14ac:dyDescent="0.3">
      <c r="A64" s="99"/>
      <c r="B64" s="11"/>
      <c r="C64" s="12"/>
      <c r="D64" s="13"/>
      <c r="E64" s="13"/>
      <c r="F64" s="13"/>
      <c r="G64" s="13"/>
      <c r="H64" s="13"/>
      <c r="I64" s="13"/>
      <c r="J64" s="13"/>
      <c r="K64" s="13"/>
      <c r="L64" s="13">
        <f>SUM($C$64:$K$64)</f>
        <v>0</v>
      </c>
      <c r="M64" s="14"/>
      <c r="N64" s="15"/>
      <c r="O64" s="14"/>
      <c r="P64" s="25"/>
    </row>
    <row r="65" spans="1:16" ht="10.5" customHeight="1" thickBot="1" x14ac:dyDescent="0.3">
      <c r="A65" s="100"/>
      <c r="B65" s="17" t="s">
        <v>28</v>
      </c>
      <c r="C65" s="18">
        <f>$C$61+$C$62+$C$63+$C$64</f>
        <v>951</v>
      </c>
      <c r="D65" s="19">
        <f>$D$61+$D$62+$D$63+$D$64</f>
        <v>1719</v>
      </c>
      <c r="E65" s="19">
        <f>$E$61+$E$62+$E$63+$E$64</f>
        <v>1871</v>
      </c>
      <c r="F65" s="19">
        <f>$F$61+$F$62+$F$63+$F$64</f>
        <v>1452</v>
      </c>
      <c r="G65" s="19">
        <f>$G$61+$G$62+$G$63+$G$64</f>
        <v>910</v>
      </c>
      <c r="H65" s="19">
        <f>$H$61+$H$62+$H$63+$H$64</f>
        <v>90</v>
      </c>
      <c r="I65" s="19">
        <f>$I$61+$I$62+$I$63+$I$64</f>
        <v>90</v>
      </c>
      <c r="J65" s="19">
        <f>$J$61+$J$62+$J$63+$J$64</f>
        <v>90</v>
      </c>
      <c r="K65" s="19">
        <f>$K$61+$K$62+$K$63+$K$64</f>
        <v>90</v>
      </c>
      <c r="L65" s="19">
        <f>SUM($C$65:$K$65)</f>
        <v>7263</v>
      </c>
      <c r="M65" s="22">
        <f>$N$65/$L$65</f>
        <v>6.2560966542750931</v>
      </c>
      <c r="N65" s="21">
        <f>$N$61+$N$62+$N$63+$N$64</f>
        <v>45438.03</v>
      </c>
      <c r="O65" s="22"/>
      <c r="P65" s="23"/>
    </row>
    <row r="66" spans="1:16" ht="10.5" customHeight="1" thickBot="1" x14ac:dyDescent="0.3">
      <c r="A66" s="31"/>
      <c r="B66" s="32" t="s">
        <v>59</v>
      </c>
      <c r="C66" s="33">
        <f>IF($C$65&lt;&gt;0,$C$65/$L$65*100,0)</f>
        <v>13.093762907889303</v>
      </c>
      <c r="D66" s="34">
        <f>IF($D$65&lt;&gt;0,$D$65/$L$65*100,0)</f>
        <v>23.667905824039654</v>
      </c>
      <c r="E66" s="34">
        <f>IF($E$65&lt;&gt;0,$E$65/$L$65*100,0)</f>
        <v>25.760704942861079</v>
      </c>
      <c r="F66" s="34">
        <f>IF($F$65&lt;&gt;0,$F$65/$L$65*100,0)</f>
        <v>19.991738950846756</v>
      </c>
      <c r="G66" s="34">
        <f>IF($G$65&lt;&gt;0,$G$65/$L$65*100,0)</f>
        <v>12.529257882417733</v>
      </c>
      <c r="H66" s="34">
        <f>IF($H$65&lt;&gt;0,$H$65/$L$65*100,0)</f>
        <v>1.2391573729863694</v>
      </c>
      <c r="I66" s="34">
        <f>IF($I$65&lt;&gt;0,$I$65/$L$65*100,0)</f>
        <v>1.2391573729863694</v>
      </c>
      <c r="J66" s="34">
        <f>IF($J$65&lt;&gt;0,$J$65/$L$65*100,0)</f>
        <v>1.2391573729863694</v>
      </c>
      <c r="K66" s="34">
        <f>IF($K$65&lt;&gt;0,$K$65/$L$65*100,0)</f>
        <v>1.2391573729863694</v>
      </c>
      <c r="L66" s="34">
        <v>100</v>
      </c>
      <c r="M66" s="35"/>
      <c r="N66" s="35"/>
      <c r="O66" s="35"/>
      <c r="P66" s="35"/>
    </row>
  </sheetData>
  <mergeCells count="25">
    <mergeCell ref="A61:A65"/>
    <mergeCell ref="P9:P13"/>
    <mergeCell ref="P14:P18"/>
    <mergeCell ref="P19:P23"/>
    <mergeCell ref="P24:P28"/>
    <mergeCell ref="P29:P33"/>
    <mergeCell ref="P34:P38"/>
    <mergeCell ref="P39:P43"/>
    <mergeCell ref="P44:P48"/>
    <mergeCell ref="P49:P53"/>
    <mergeCell ref="P54:P58"/>
    <mergeCell ref="N7:N8"/>
    <mergeCell ref="A1:P1"/>
    <mergeCell ref="A2:P2"/>
    <mergeCell ref="A3:P3"/>
    <mergeCell ref="A4:P4"/>
    <mergeCell ref="A5:P5"/>
    <mergeCell ref="A6:P6"/>
    <mergeCell ref="A7:A8"/>
    <mergeCell ref="B7:B8"/>
    <mergeCell ref="C7:K7"/>
    <mergeCell ref="L7:L8"/>
    <mergeCell ref="M7:M8"/>
    <mergeCell ref="O7:O8"/>
    <mergeCell ref="P7:P8"/>
  </mergeCells>
  <pageMargins left="0.75" right="0.75" top="1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8.13 order recap CMS </vt:lpstr>
      <vt:lpstr>7.20 order recap 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KRV</dc:creator>
  <cp:lastModifiedBy>Mr Kim</cp:lastModifiedBy>
  <dcterms:created xsi:type="dcterms:W3CDTF">2021-07-20T07:54:25Z</dcterms:created>
  <dcterms:modified xsi:type="dcterms:W3CDTF">2021-09-10T10:31:05Z</dcterms:modified>
</cp:coreProperties>
</file>